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tables/table15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6C36F5B5-C5F5-4151-897F-A7BA9616F2CF}" xr6:coauthVersionLast="47" xr6:coauthVersionMax="47" xr10:uidLastSave="{00000000-0000-0000-0000-000000000000}"/>
  <bookViews>
    <workbookView xWindow="-108" yWindow="-108" windowWidth="23256" windowHeight="12456" firstSheet="11" activeTab="14" xr2:uid="{C8A5782F-EF12-45F5-8BBB-3CD340B9D1CD}"/>
  </bookViews>
  <sheets>
    <sheet name="Cover" sheetId="1" r:id="rId1"/>
    <sheet name="VLOOKUP DVL" sheetId="33" r:id="rId2"/>
    <sheet name="VLOOKUP DVL (an)" sheetId="41" r:id="rId3"/>
    <sheet name="Chart" sheetId="38" r:id="rId4"/>
    <sheet name="Chart (an)" sheetId="34" r:id="rId5"/>
    <sheet name="PivotTable" sheetId="39" r:id="rId6"/>
    <sheet name="PivotTable (an)" sheetId="35" r:id="rId7"/>
    <sheet name="SUM" sheetId="40" r:id="rId8"/>
    <sheet name="SUM (an)" sheetId="36" r:id="rId9"/>
    <sheet name="New Column &amp; VLOOKUP" sheetId="42" r:id="rId10"/>
    <sheet name="New Column &amp; VLOOKUP (an)" sheetId="50" r:id="rId11"/>
    <sheet name="HW==&gt;&gt;" sheetId="44" r:id="rId12"/>
    <sheet name="HW(1)" sheetId="45" r:id="rId13"/>
    <sheet name="HW(1an)" sheetId="46" r:id="rId14"/>
    <sheet name="HW(2)" sheetId="47" r:id="rId15"/>
    <sheet name="HW(2an)" sheetId="49" r:id="rId16"/>
  </sheets>
  <calcPr calcId="191029"/>
  <pivotCaches>
    <pivotCache cacheId="0" r:id="rId17"/>
    <pivotCache cacheId="1" r:id="rId18"/>
    <pivotCache cacheId="2" r:id="rId19"/>
    <pivotCache cacheId="6" r:id="rId20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47" l="1"/>
  <c r="D9" i="49"/>
  <c r="G655" i="42"/>
  <c r="F653" i="42"/>
  <c r="G653" i="42" s="1"/>
  <c r="F654" i="42"/>
  <c r="G654" i="42" s="1"/>
  <c r="F655" i="42"/>
  <c r="F652" i="42"/>
  <c r="G652" i="42" s="1"/>
  <c r="F20" i="42"/>
  <c r="G20" i="42" s="1"/>
  <c r="F21" i="42"/>
  <c r="G21" i="42" s="1"/>
  <c r="F22" i="42"/>
  <c r="G22" i="42" s="1"/>
  <c r="F23" i="42"/>
  <c r="G23" i="42" s="1"/>
  <c r="F24" i="42"/>
  <c r="G24" i="42" s="1"/>
  <c r="F25" i="42"/>
  <c r="G25" i="42" s="1"/>
  <c r="F26" i="42"/>
  <c r="G26" i="42" s="1"/>
  <c r="F27" i="42"/>
  <c r="G27" i="42" s="1"/>
  <c r="F28" i="42"/>
  <c r="G28" i="42" s="1"/>
  <c r="F29" i="42"/>
  <c r="G29" i="42" s="1"/>
  <c r="F30" i="42"/>
  <c r="G30" i="42" s="1"/>
  <c r="F31" i="42"/>
  <c r="G31" i="42" s="1"/>
  <c r="F32" i="42"/>
  <c r="G32" i="42" s="1"/>
  <c r="F33" i="42"/>
  <c r="G33" i="42" s="1"/>
  <c r="F34" i="42"/>
  <c r="G34" i="42" s="1"/>
  <c r="F35" i="42"/>
  <c r="G35" i="42" s="1"/>
  <c r="F36" i="42"/>
  <c r="G36" i="42" s="1"/>
  <c r="F37" i="42"/>
  <c r="G37" i="42" s="1"/>
  <c r="F38" i="42"/>
  <c r="G38" i="42" s="1"/>
  <c r="F39" i="42"/>
  <c r="G39" i="42" s="1"/>
  <c r="F40" i="42"/>
  <c r="G40" i="42" s="1"/>
  <c r="F41" i="42"/>
  <c r="G41" i="42" s="1"/>
  <c r="F42" i="42"/>
  <c r="G42" i="42" s="1"/>
  <c r="F43" i="42"/>
  <c r="G43" i="42" s="1"/>
  <c r="F44" i="42"/>
  <c r="G44" i="42" s="1"/>
  <c r="F45" i="42"/>
  <c r="G45" i="42" s="1"/>
  <c r="F46" i="42"/>
  <c r="G46" i="42" s="1"/>
  <c r="F47" i="42"/>
  <c r="G47" i="42" s="1"/>
  <c r="F48" i="42"/>
  <c r="G48" i="42" s="1"/>
  <c r="F49" i="42"/>
  <c r="G49" i="42" s="1"/>
  <c r="F50" i="42"/>
  <c r="G50" i="42" s="1"/>
  <c r="F51" i="42"/>
  <c r="G51" i="42" s="1"/>
  <c r="F52" i="42"/>
  <c r="G52" i="42" s="1"/>
  <c r="F53" i="42"/>
  <c r="G53" i="42" s="1"/>
  <c r="F54" i="42"/>
  <c r="G54" i="42" s="1"/>
  <c r="F55" i="42"/>
  <c r="G55" i="42" s="1"/>
  <c r="F56" i="42"/>
  <c r="G56" i="42" s="1"/>
  <c r="F57" i="42"/>
  <c r="G57" i="42" s="1"/>
  <c r="F58" i="42"/>
  <c r="G58" i="42" s="1"/>
  <c r="F59" i="42"/>
  <c r="G59" i="42" s="1"/>
  <c r="F60" i="42"/>
  <c r="G60" i="42" s="1"/>
  <c r="F61" i="42"/>
  <c r="G61" i="42" s="1"/>
  <c r="F62" i="42"/>
  <c r="G62" i="42" s="1"/>
  <c r="F63" i="42"/>
  <c r="G63" i="42" s="1"/>
  <c r="F64" i="42"/>
  <c r="G64" i="42" s="1"/>
  <c r="F65" i="42"/>
  <c r="G65" i="42" s="1"/>
  <c r="F66" i="42"/>
  <c r="G66" i="42" s="1"/>
  <c r="F67" i="42"/>
  <c r="G67" i="42" s="1"/>
  <c r="F68" i="42"/>
  <c r="G68" i="42" s="1"/>
  <c r="F69" i="42"/>
  <c r="G69" i="42" s="1"/>
  <c r="F70" i="42"/>
  <c r="G70" i="42" s="1"/>
  <c r="F71" i="42"/>
  <c r="G71" i="42" s="1"/>
  <c r="F72" i="42"/>
  <c r="G72" i="42" s="1"/>
  <c r="F73" i="42"/>
  <c r="G73" i="42" s="1"/>
  <c r="F74" i="42"/>
  <c r="G74" i="42" s="1"/>
  <c r="F75" i="42"/>
  <c r="G75" i="42" s="1"/>
  <c r="F76" i="42"/>
  <c r="G76" i="42" s="1"/>
  <c r="F77" i="42"/>
  <c r="G77" i="42" s="1"/>
  <c r="F78" i="42"/>
  <c r="G78" i="42" s="1"/>
  <c r="F79" i="42"/>
  <c r="G79" i="42" s="1"/>
  <c r="F80" i="42"/>
  <c r="G80" i="42" s="1"/>
  <c r="F81" i="42"/>
  <c r="G81" i="42" s="1"/>
  <c r="F82" i="42"/>
  <c r="G82" i="42" s="1"/>
  <c r="F83" i="42"/>
  <c r="G83" i="42" s="1"/>
  <c r="F84" i="42"/>
  <c r="G84" i="42" s="1"/>
  <c r="F85" i="42"/>
  <c r="G85" i="42" s="1"/>
  <c r="F86" i="42"/>
  <c r="G86" i="42" s="1"/>
  <c r="F87" i="42"/>
  <c r="G87" i="42" s="1"/>
  <c r="F88" i="42"/>
  <c r="G88" i="42" s="1"/>
  <c r="F89" i="42"/>
  <c r="G89" i="42" s="1"/>
  <c r="F90" i="42"/>
  <c r="G90" i="42" s="1"/>
  <c r="F91" i="42"/>
  <c r="G91" i="42" s="1"/>
  <c r="F92" i="42"/>
  <c r="G92" i="42" s="1"/>
  <c r="F93" i="42"/>
  <c r="G93" i="42" s="1"/>
  <c r="F94" i="42"/>
  <c r="G94" i="42" s="1"/>
  <c r="F95" i="42"/>
  <c r="G95" i="42" s="1"/>
  <c r="F96" i="42"/>
  <c r="G96" i="42" s="1"/>
  <c r="F97" i="42"/>
  <c r="G97" i="42" s="1"/>
  <c r="F98" i="42"/>
  <c r="G98" i="42" s="1"/>
  <c r="F99" i="42"/>
  <c r="G99" i="42" s="1"/>
  <c r="F100" i="42"/>
  <c r="G100" i="42" s="1"/>
  <c r="F101" i="42"/>
  <c r="G101" i="42" s="1"/>
  <c r="F102" i="42"/>
  <c r="G102" i="42" s="1"/>
  <c r="F103" i="42"/>
  <c r="G103" i="42" s="1"/>
  <c r="F104" i="42"/>
  <c r="G104" i="42" s="1"/>
  <c r="F105" i="42"/>
  <c r="G105" i="42" s="1"/>
  <c r="F106" i="42"/>
  <c r="G106" i="42" s="1"/>
  <c r="F107" i="42"/>
  <c r="G107" i="42" s="1"/>
  <c r="F108" i="42"/>
  <c r="G108" i="42" s="1"/>
  <c r="F109" i="42"/>
  <c r="G109" i="42" s="1"/>
  <c r="F110" i="42"/>
  <c r="G110" i="42" s="1"/>
  <c r="F111" i="42"/>
  <c r="G111" i="42" s="1"/>
  <c r="F112" i="42"/>
  <c r="G112" i="42" s="1"/>
  <c r="F113" i="42"/>
  <c r="G113" i="42" s="1"/>
  <c r="F114" i="42"/>
  <c r="G114" i="42" s="1"/>
  <c r="F115" i="42"/>
  <c r="G115" i="42" s="1"/>
  <c r="F116" i="42"/>
  <c r="G116" i="42" s="1"/>
  <c r="F117" i="42"/>
  <c r="G117" i="42" s="1"/>
  <c r="F118" i="42"/>
  <c r="G118" i="42" s="1"/>
  <c r="F119" i="42"/>
  <c r="G119" i="42" s="1"/>
  <c r="F120" i="42"/>
  <c r="G120" i="42" s="1"/>
  <c r="F121" i="42"/>
  <c r="G121" i="42" s="1"/>
  <c r="F122" i="42"/>
  <c r="G122" i="42" s="1"/>
  <c r="F123" i="42"/>
  <c r="G123" i="42" s="1"/>
  <c r="F124" i="42"/>
  <c r="G124" i="42" s="1"/>
  <c r="F125" i="42"/>
  <c r="G125" i="42" s="1"/>
  <c r="F126" i="42"/>
  <c r="G126" i="42" s="1"/>
  <c r="F127" i="42"/>
  <c r="G127" i="42" s="1"/>
  <c r="F128" i="42"/>
  <c r="G128" i="42" s="1"/>
  <c r="F129" i="42"/>
  <c r="G129" i="42" s="1"/>
  <c r="F130" i="42"/>
  <c r="G130" i="42" s="1"/>
  <c r="F131" i="42"/>
  <c r="G131" i="42" s="1"/>
  <c r="F132" i="42"/>
  <c r="G132" i="42" s="1"/>
  <c r="F133" i="42"/>
  <c r="G133" i="42" s="1"/>
  <c r="F134" i="42"/>
  <c r="G134" i="42" s="1"/>
  <c r="F135" i="42"/>
  <c r="G135" i="42" s="1"/>
  <c r="F136" i="42"/>
  <c r="G136" i="42" s="1"/>
  <c r="F137" i="42"/>
  <c r="G137" i="42" s="1"/>
  <c r="F138" i="42"/>
  <c r="G138" i="42" s="1"/>
  <c r="F139" i="42"/>
  <c r="G139" i="42" s="1"/>
  <c r="F140" i="42"/>
  <c r="G140" i="42" s="1"/>
  <c r="F141" i="42"/>
  <c r="G141" i="42" s="1"/>
  <c r="F142" i="42"/>
  <c r="G142" i="42" s="1"/>
  <c r="F143" i="42"/>
  <c r="G143" i="42" s="1"/>
  <c r="F144" i="42"/>
  <c r="G144" i="42" s="1"/>
  <c r="F145" i="42"/>
  <c r="G145" i="42" s="1"/>
  <c r="F146" i="42"/>
  <c r="G146" i="42" s="1"/>
  <c r="F147" i="42"/>
  <c r="G147" i="42" s="1"/>
  <c r="F148" i="42"/>
  <c r="G148" i="42" s="1"/>
  <c r="F149" i="42"/>
  <c r="G149" i="42" s="1"/>
  <c r="F150" i="42"/>
  <c r="G150" i="42" s="1"/>
  <c r="F151" i="42"/>
  <c r="G151" i="42" s="1"/>
  <c r="F152" i="42"/>
  <c r="G152" i="42" s="1"/>
  <c r="F153" i="42"/>
  <c r="G153" i="42" s="1"/>
  <c r="F154" i="42"/>
  <c r="G154" i="42" s="1"/>
  <c r="F155" i="42"/>
  <c r="G155" i="42" s="1"/>
  <c r="F156" i="42"/>
  <c r="G156" i="42" s="1"/>
  <c r="F157" i="42"/>
  <c r="G157" i="42" s="1"/>
  <c r="F158" i="42"/>
  <c r="G158" i="42" s="1"/>
  <c r="F159" i="42"/>
  <c r="G159" i="42" s="1"/>
  <c r="F160" i="42"/>
  <c r="G160" i="42" s="1"/>
  <c r="F161" i="42"/>
  <c r="G161" i="42" s="1"/>
  <c r="F162" i="42"/>
  <c r="G162" i="42" s="1"/>
  <c r="F163" i="42"/>
  <c r="G163" i="42" s="1"/>
  <c r="F164" i="42"/>
  <c r="G164" i="42" s="1"/>
  <c r="F165" i="42"/>
  <c r="G165" i="42" s="1"/>
  <c r="F166" i="42"/>
  <c r="G166" i="42" s="1"/>
  <c r="F167" i="42"/>
  <c r="G167" i="42" s="1"/>
  <c r="F168" i="42"/>
  <c r="G168" i="42" s="1"/>
  <c r="F169" i="42"/>
  <c r="G169" i="42" s="1"/>
  <c r="F170" i="42"/>
  <c r="G170" i="42" s="1"/>
  <c r="F171" i="42"/>
  <c r="G171" i="42" s="1"/>
  <c r="F172" i="42"/>
  <c r="G172" i="42" s="1"/>
  <c r="F173" i="42"/>
  <c r="G173" i="42" s="1"/>
  <c r="F174" i="42"/>
  <c r="G174" i="42" s="1"/>
  <c r="F175" i="42"/>
  <c r="G175" i="42" s="1"/>
  <c r="F176" i="42"/>
  <c r="G176" i="42" s="1"/>
  <c r="F177" i="42"/>
  <c r="G177" i="42" s="1"/>
  <c r="F178" i="42"/>
  <c r="G178" i="42" s="1"/>
  <c r="F179" i="42"/>
  <c r="G179" i="42" s="1"/>
  <c r="F180" i="42"/>
  <c r="G180" i="42" s="1"/>
  <c r="F181" i="42"/>
  <c r="G181" i="42" s="1"/>
  <c r="F182" i="42"/>
  <c r="G182" i="42" s="1"/>
  <c r="F183" i="42"/>
  <c r="G183" i="42" s="1"/>
  <c r="F184" i="42"/>
  <c r="G184" i="42" s="1"/>
  <c r="F185" i="42"/>
  <c r="G185" i="42" s="1"/>
  <c r="F186" i="42"/>
  <c r="G186" i="42" s="1"/>
  <c r="F187" i="42"/>
  <c r="G187" i="42" s="1"/>
  <c r="F188" i="42"/>
  <c r="G188" i="42" s="1"/>
  <c r="F189" i="42"/>
  <c r="G189" i="42" s="1"/>
  <c r="F190" i="42"/>
  <c r="G190" i="42" s="1"/>
  <c r="F191" i="42"/>
  <c r="G191" i="42" s="1"/>
  <c r="F192" i="42"/>
  <c r="G192" i="42" s="1"/>
  <c r="F193" i="42"/>
  <c r="G193" i="42" s="1"/>
  <c r="F194" i="42"/>
  <c r="G194" i="42" s="1"/>
  <c r="F195" i="42"/>
  <c r="G195" i="42" s="1"/>
  <c r="F196" i="42"/>
  <c r="G196" i="42" s="1"/>
  <c r="F197" i="42"/>
  <c r="G197" i="42" s="1"/>
  <c r="F198" i="42"/>
  <c r="G198" i="42" s="1"/>
  <c r="F199" i="42"/>
  <c r="G199" i="42" s="1"/>
  <c r="F200" i="42"/>
  <c r="G200" i="42" s="1"/>
  <c r="F201" i="42"/>
  <c r="G201" i="42" s="1"/>
  <c r="F202" i="42"/>
  <c r="G202" i="42" s="1"/>
  <c r="F203" i="42"/>
  <c r="G203" i="42" s="1"/>
  <c r="F204" i="42"/>
  <c r="G204" i="42" s="1"/>
  <c r="F205" i="42"/>
  <c r="G205" i="42" s="1"/>
  <c r="F206" i="42"/>
  <c r="G206" i="42" s="1"/>
  <c r="F207" i="42"/>
  <c r="G207" i="42" s="1"/>
  <c r="F208" i="42"/>
  <c r="G208" i="42" s="1"/>
  <c r="F209" i="42"/>
  <c r="G209" i="42" s="1"/>
  <c r="F210" i="42"/>
  <c r="G210" i="42" s="1"/>
  <c r="F211" i="42"/>
  <c r="G211" i="42" s="1"/>
  <c r="F212" i="42"/>
  <c r="G212" i="42" s="1"/>
  <c r="F213" i="42"/>
  <c r="G213" i="42" s="1"/>
  <c r="F214" i="42"/>
  <c r="G214" i="42" s="1"/>
  <c r="F215" i="42"/>
  <c r="G215" i="42" s="1"/>
  <c r="F216" i="42"/>
  <c r="G216" i="42" s="1"/>
  <c r="F217" i="42"/>
  <c r="G217" i="42" s="1"/>
  <c r="F218" i="42"/>
  <c r="G218" i="42" s="1"/>
  <c r="F219" i="42"/>
  <c r="G219" i="42" s="1"/>
  <c r="F220" i="42"/>
  <c r="G220" i="42" s="1"/>
  <c r="F221" i="42"/>
  <c r="G221" i="42" s="1"/>
  <c r="F222" i="42"/>
  <c r="G222" i="42" s="1"/>
  <c r="F223" i="42"/>
  <c r="G223" i="42" s="1"/>
  <c r="F224" i="42"/>
  <c r="G224" i="42" s="1"/>
  <c r="F225" i="42"/>
  <c r="G225" i="42" s="1"/>
  <c r="F226" i="42"/>
  <c r="G226" i="42" s="1"/>
  <c r="F227" i="42"/>
  <c r="G227" i="42" s="1"/>
  <c r="F228" i="42"/>
  <c r="G228" i="42" s="1"/>
  <c r="F229" i="42"/>
  <c r="G229" i="42" s="1"/>
  <c r="F230" i="42"/>
  <c r="G230" i="42" s="1"/>
  <c r="F231" i="42"/>
  <c r="G231" i="42" s="1"/>
  <c r="F232" i="42"/>
  <c r="G232" i="42" s="1"/>
  <c r="F233" i="42"/>
  <c r="G233" i="42" s="1"/>
  <c r="F234" i="42"/>
  <c r="G234" i="42" s="1"/>
  <c r="F235" i="42"/>
  <c r="G235" i="42" s="1"/>
  <c r="F236" i="42"/>
  <c r="G236" i="42" s="1"/>
  <c r="F237" i="42"/>
  <c r="G237" i="42" s="1"/>
  <c r="F238" i="42"/>
  <c r="G238" i="42" s="1"/>
  <c r="F239" i="42"/>
  <c r="G239" i="42" s="1"/>
  <c r="F240" i="42"/>
  <c r="G240" i="42" s="1"/>
  <c r="F241" i="42"/>
  <c r="G241" i="42" s="1"/>
  <c r="F242" i="42"/>
  <c r="G242" i="42" s="1"/>
  <c r="F243" i="42"/>
  <c r="G243" i="42" s="1"/>
  <c r="F244" i="42"/>
  <c r="G244" i="42" s="1"/>
  <c r="F245" i="42"/>
  <c r="G245" i="42" s="1"/>
  <c r="F246" i="42"/>
  <c r="G246" i="42" s="1"/>
  <c r="F247" i="42"/>
  <c r="G247" i="42" s="1"/>
  <c r="F248" i="42"/>
  <c r="G248" i="42" s="1"/>
  <c r="F249" i="42"/>
  <c r="G249" i="42" s="1"/>
  <c r="F250" i="42"/>
  <c r="G250" i="42" s="1"/>
  <c r="F251" i="42"/>
  <c r="G251" i="42" s="1"/>
  <c r="F252" i="42"/>
  <c r="G252" i="42" s="1"/>
  <c r="F253" i="42"/>
  <c r="G253" i="42" s="1"/>
  <c r="F254" i="42"/>
  <c r="G254" i="42" s="1"/>
  <c r="F255" i="42"/>
  <c r="G255" i="42" s="1"/>
  <c r="F256" i="42"/>
  <c r="G256" i="42" s="1"/>
  <c r="F257" i="42"/>
  <c r="G257" i="42" s="1"/>
  <c r="F258" i="42"/>
  <c r="G258" i="42" s="1"/>
  <c r="F259" i="42"/>
  <c r="G259" i="42" s="1"/>
  <c r="F260" i="42"/>
  <c r="G260" i="42" s="1"/>
  <c r="F261" i="42"/>
  <c r="G261" i="42" s="1"/>
  <c r="F262" i="42"/>
  <c r="G262" i="42" s="1"/>
  <c r="F263" i="42"/>
  <c r="G263" i="42" s="1"/>
  <c r="F264" i="42"/>
  <c r="G264" i="42" s="1"/>
  <c r="F265" i="42"/>
  <c r="G265" i="42" s="1"/>
  <c r="F266" i="42"/>
  <c r="G266" i="42" s="1"/>
  <c r="F267" i="42"/>
  <c r="G267" i="42" s="1"/>
  <c r="F268" i="42"/>
  <c r="G268" i="42" s="1"/>
  <c r="F269" i="42"/>
  <c r="G269" i="42" s="1"/>
  <c r="F270" i="42"/>
  <c r="G270" i="42" s="1"/>
  <c r="F271" i="42"/>
  <c r="G271" i="42" s="1"/>
  <c r="F272" i="42"/>
  <c r="G272" i="42" s="1"/>
  <c r="F273" i="42"/>
  <c r="G273" i="42" s="1"/>
  <c r="F274" i="42"/>
  <c r="G274" i="42" s="1"/>
  <c r="F275" i="42"/>
  <c r="G275" i="42" s="1"/>
  <c r="F276" i="42"/>
  <c r="G276" i="42" s="1"/>
  <c r="F277" i="42"/>
  <c r="G277" i="42" s="1"/>
  <c r="F278" i="42"/>
  <c r="G278" i="42" s="1"/>
  <c r="F279" i="42"/>
  <c r="G279" i="42" s="1"/>
  <c r="F280" i="42"/>
  <c r="G280" i="42" s="1"/>
  <c r="F281" i="42"/>
  <c r="G281" i="42" s="1"/>
  <c r="F282" i="42"/>
  <c r="G282" i="42" s="1"/>
  <c r="F283" i="42"/>
  <c r="G283" i="42" s="1"/>
  <c r="F284" i="42"/>
  <c r="G284" i="42" s="1"/>
  <c r="F285" i="42"/>
  <c r="G285" i="42" s="1"/>
  <c r="F286" i="42"/>
  <c r="G286" i="42" s="1"/>
  <c r="F287" i="42"/>
  <c r="G287" i="42" s="1"/>
  <c r="F288" i="42"/>
  <c r="G288" i="42" s="1"/>
  <c r="F289" i="42"/>
  <c r="G289" i="42" s="1"/>
  <c r="F290" i="42"/>
  <c r="G290" i="42" s="1"/>
  <c r="F291" i="42"/>
  <c r="G291" i="42" s="1"/>
  <c r="F292" i="42"/>
  <c r="G292" i="42" s="1"/>
  <c r="F293" i="42"/>
  <c r="G293" i="42" s="1"/>
  <c r="F294" i="42"/>
  <c r="G294" i="42" s="1"/>
  <c r="F295" i="42"/>
  <c r="G295" i="42" s="1"/>
  <c r="F296" i="42"/>
  <c r="G296" i="42" s="1"/>
  <c r="F297" i="42"/>
  <c r="G297" i="42" s="1"/>
  <c r="F298" i="42"/>
  <c r="G298" i="42" s="1"/>
  <c r="F299" i="42"/>
  <c r="G299" i="42" s="1"/>
  <c r="F300" i="42"/>
  <c r="G300" i="42" s="1"/>
  <c r="F301" i="42"/>
  <c r="G301" i="42" s="1"/>
  <c r="F302" i="42"/>
  <c r="G302" i="42" s="1"/>
  <c r="F303" i="42"/>
  <c r="G303" i="42" s="1"/>
  <c r="F304" i="42"/>
  <c r="G304" i="42" s="1"/>
  <c r="F305" i="42"/>
  <c r="G305" i="42" s="1"/>
  <c r="F306" i="42"/>
  <c r="G306" i="42" s="1"/>
  <c r="F307" i="42"/>
  <c r="G307" i="42" s="1"/>
  <c r="F308" i="42"/>
  <c r="G308" i="42" s="1"/>
  <c r="F309" i="42"/>
  <c r="G309" i="42" s="1"/>
  <c r="F310" i="42"/>
  <c r="G310" i="42" s="1"/>
  <c r="F311" i="42"/>
  <c r="G311" i="42" s="1"/>
  <c r="F312" i="42"/>
  <c r="G312" i="42" s="1"/>
  <c r="F313" i="42"/>
  <c r="G313" i="42" s="1"/>
  <c r="F314" i="42"/>
  <c r="G314" i="42" s="1"/>
  <c r="F315" i="42"/>
  <c r="G315" i="42" s="1"/>
  <c r="F316" i="42"/>
  <c r="G316" i="42" s="1"/>
  <c r="F317" i="42"/>
  <c r="G317" i="42" s="1"/>
  <c r="F318" i="42"/>
  <c r="G318" i="42" s="1"/>
  <c r="F319" i="42"/>
  <c r="G319" i="42" s="1"/>
  <c r="F320" i="42"/>
  <c r="G320" i="42" s="1"/>
  <c r="F321" i="42"/>
  <c r="G321" i="42" s="1"/>
  <c r="F322" i="42"/>
  <c r="G322" i="42" s="1"/>
  <c r="F323" i="42"/>
  <c r="G323" i="42" s="1"/>
  <c r="F324" i="42"/>
  <c r="G324" i="42" s="1"/>
  <c r="F325" i="42"/>
  <c r="G325" i="42" s="1"/>
  <c r="F326" i="42"/>
  <c r="G326" i="42" s="1"/>
  <c r="F327" i="42"/>
  <c r="G327" i="42" s="1"/>
  <c r="F328" i="42"/>
  <c r="G328" i="42" s="1"/>
  <c r="F329" i="42"/>
  <c r="G329" i="42" s="1"/>
  <c r="F330" i="42"/>
  <c r="G330" i="42" s="1"/>
  <c r="F331" i="42"/>
  <c r="G331" i="42" s="1"/>
  <c r="F332" i="42"/>
  <c r="G332" i="42" s="1"/>
  <c r="F333" i="42"/>
  <c r="G333" i="42" s="1"/>
  <c r="F334" i="42"/>
  <c r="G334" i="42" s="1"/>
  <c r="F335" i="42"/>
  <c r="G335" i="42" s="1"/>
  <c r="F336" i="42"/>
  <c r="G336" i="42" s="1"/>
  <c r="F337" i="42"/>
  <c r="G337" i="42" s="1"/>
  <c r="F338" i="42"/>
  <c r="G338" i="42" s="1"/>
  <c r="F339" i="42"/>
  <c r="G339" i="42" s="1"/>
  <c r="F340" i="42"/>
  <c r="G340" i="42" s="1"/>
  <c r="F341" i="42"/>
  <c r="G341" i="42" s="1"/>
  <c r="F342" i="42"/>
  <c r="G342" i="42" s="1"/>
  <c r="F343" i="42"/>
  <c r="G343" i="42" s="1"/>
  <c r="F344" i="42"/>
  <c r="G344" i="42" s="1"/>
  <c r="F345" i="42"/>
  <c r="G345" i="42" s="1"/>
  <c r="F346" i="42"/>
  <c r="G346" i="42" s="1"/>
  <c r="F347" i="42"/>
  <c r="G347" i="42" s="1"/>
  <c r="F348" i="42"/>
  <c r="G348" i="42" s="1"/>
  <c r="F349" i="42"/>
  <c r="G349" i="42" s="1"/>
  <c r="F350" i="42"/>
  <c r="G350" i="42" s="1"/>
  <c r="F351" i="42"/>
  <c r="G351" i="42" s="1"/>
  <c r="F352" i="42"/>
  <c r="G352" i="42" s="1"/>
  <c r="F353" i="42"/>
  <c r="G353" i="42" s="1"/>
  <c r="F354" i="42"/>
  <c r="G354" i="42" s="1"/>
  <c r="F355" i="42"/>
  <c r="G355" i="42" s="1"/>
  <c r="F356" i="42"/>
  <c r="G356" i="42" s="1"/>
  <c r="F357" i="42"/>
  <c r="G357" i="42" s="1"/>
  <c r="F358" i="42"/>
  <c r="G358" i="42" s="1"/>
  <c r="F359" i="42"/>
  <c r="G359" i="42" s="1"/>
  <c r="F360" i="42"/>
  <c r="G360" i="42" s="1"/>
  <c r="F361" i="42"/>
  <c r="G361" i="42" s="1"/>
  <c r="F362" i="42"/>
  <c r="G362" i="42" s="1"/>
  <c r="F363" i="42"/>
  <c r="G363" i="42" s="1"/>
  <c r="F364" i="42"/>
  <c r="G364" i="42" s="1"/>
  <c r="F365" i="42"/>
  <c r="G365" i="42" s="1"/>
  <c r="F366" i="42"/>
  <c r="G366" i="42" s="1"/>
  <c r="F367" i="42"/>
  <c r="G367" i="42" s="1"/>
  <c r="F368" i="42"/>
  <c r="G368" i="42" s="1"/>
  <c r="F369" i="42"/>
  <c r="G369" i="42" s="1"/>
  <c r="F370" i="42"/>
  <c r="G370" i="42" s="1"/>
  <c r="F371" i="42"/>
  <c r="G371" i="42" s="1"/>
  <c r="F372" i="42"/>
  <c r="G372" i="42" s="1"/>
  <c r="F373" i="42"/>
  <c r="G373" i="42" s="1"/>
  <c r="F374" i="42"/>
  <c r="G374" i="42" s="1"/>
  <c r="F375" i="42"/>
  <c r="G375" i="42" s="1"/>
  <c r="F376" i="42"/>
  <c r="G376" i="42" s="1"/>
  <c r="F377" i="42"/>
  <c r="G377" i="42" s="1"/>
  <c r="F378" i="42"/>
  <c r="G378" i="42" s="1"/>
  <c r="F379" i="42"/>
  <c r="G379" i="42" s="1"/>
  <c r="F380" i="42"/>
  <c r="G380" i="42" s="1"/>
  <c r="F381" i="42"/>
  <c r="G381" i="42" s="1"/>
  <c r="F382" i="42"/>
  <c r="G382" i="42" s="1"/>
  <c r="F383" i="42"/>
  <c r="G383" i="42" s="1"/>
  <c r="F384" i="42"/>
  <c r="G384" i="42" s="1"/>
  <c r="F385" i="42"/>
  <c r="G385" i="42" s="1"/>
  <c r="F386" i="42"/>
  <c r="G386" i="42" s="1"/>
  <c r="F387" i="42"/>
  <c r="G387" i="42" s="1"/>
  <c r="F388" i="42"/>
  <c r="G388" i="42" s="1"/>
  <c r="F389" i="42"/>
  <c r="G389" i="42" s="1"/>
  <c r="F390" i="42"/>
  <c r="G390" i="42" s="1"/>
  <c r="F391" i="42"/>
  <c r="G391" i="42" s="1"/>
  <c r="F392" i="42"/>
  <c r="G392" i="42" s="1"/>
  <c r="F393" i="42"/>
  <c r="G393" i="42" s="1"/>
  <c r="F394" i="42"/>
  <c r="G394" i="42" s="1"/>
  <c r="F395" i="42"/>
  <c r="G395" i="42" s="1"/>
  <c r="F396" i="42"/>
  <c r="G396" i="42" s="1"/>
  <c r="F397" i="42"/>
  <c r="G397" i="42" s="1"/>
  <c r="F398" i="42"/>
  <c r="G398" i="42" s="1"/>
  <c r="F399" i="42"/>
  <c r="G399" i="42" s="1"/>
  <c r="F400" i="42"/>
  <c r="G400" i="42" s="1"/>
  <c r="F401" i="42"/>
  <c r="G401" i="42" s="1"/>
  <c r="F402" i="42"/>
  <c r="G402" i="42" s="1"/>
  <c r="F403" i="42"/>
  <c r="G403" i="42" s="1"/>
  <c r="F404" i="42"/>
  <c r="G404" i="42" s="1"/>
  <c r="F405" i="42"/>
  <c r="G405" i="42" s="1"/>
  <c r="F406" i="42"/>
  <c r="G406" i="42" s="1"/>
  <c r="F407" i="42"/>
  <c r="G407" i="42" s="1"/>
  <c r="F408" i="42"/>
  <c r="G408" i="42" s="1"/>
  <c r="F409" i="42"/>
  <c r="G409" i="42" s="1"/>
  <c r="F410" i="42"/>
  <c r="G410" i="42" s="1"/>
  <c r="F411" i="42"/>
  <c r="G411" i="42" s="1"/>
  <c r="F412" i="42"/>
  <c r="G412" i="42" s="1"/>
  <c r="F413" i="42"/>
  <c r="G413" i="42" s="1"/>
  <c r="F414" i="42"/>
  <c r="G414" i="42" s="1"/>
  <c r="F415" i="42"/>
  <c r="G415" i="42" s="1"/>
  <c r="F416" i="42"/>
  <c r="G416" i="42" s="1"/>
  <c r="F417" i="42"/>
  <c r="G417" i="42" s="1"/>
  <c r="F418" i="42"/>
  <c r="G418" i="42" s="1"/>
  <c r="F419" i="42"/>
  <c r="G419" i="42" s="1"/>
  <c r="F420" i="42"/>
  <c r="G420" i="42" s="1"/>
  <c r="F421" i="42"/>
  <c r="G421" i="42" s="1"/>
  <c r="F422" i="42"/>
  <c r="G422" i="42" s="1"/>
  <c r="F423" i="42"/>
  <c r="G423" i="42" s="1"/>
  <c r="F424" i="42"/>
  <c r="G424" i="42" s="1"/>
  <c r="F425" i="42"/>
  <c r="G425" i="42" s="1"/>
  <c r="F426" i="42"/>
  <c r="G426" i="42" s="1"/>
  <c r="F427" i="42"/>
  <c r="G427" i="42" s="1"/>
  <c r="F428" i="42"/>
  <c r="G428" i="42" s="1"/>
  <c r="F429" i="42"/>
  <c r="G429" i="42" s="1"/>
  <c r="F430" i="42"/>
  <c r="G430" i="42" s="1"/>
  <c r="F431" i="42"/>
  <c r="G431" i="42" s="1"/>
  <c r="F432" i="42"/>
  <c r="G432" i="42" s="1"/>
  <c r="F433" i="42"/>
  <c r="G433" i="42" s="1"/>
  <c r="F434" i="42"/>
  <c r="G434" i="42" s="1"/>
  <c r="F435" i="42"/>
  <c r="G435" i="42" s="1"/>
  <c r="F436" i="42"/>
  <c r="G436" i="42" s="1"/>
  <c r="F437" i="42"/>
  <c r="G437" i="42" s="1"/>
  <c r="F438" i="42"/>
  <c r="G438" i="42" s="1"/>
  <c r="F439" i="42"/>
  <c r="G439" i="42" s="1"/>
  <c r="F440" i="42"/>
  <c r="G440" i="42" s="1"/>
  <c r="F441" i="42"/>
  <c r="G441" i="42" s="1"/>
  <c r="F442" i="42"/>
  <c r="G442" i="42" s="1"/>
  <c r="F443" i="42"/>
  <c r="G443" i="42" s="1"/>
  <c r="F444" i="42"/>
  <c r="G444" i="42" s="1"/>
  <c r="F445" i="42"/>
  <c r="G445" i="42" s="1"/>
  <c r="F446" i="42"/>
  <c r="G446" i="42" s="1"/>
  <c r="F447" i="42"/>
  <c r="G447" i="42" s="1"/>
  <c r="F448" i="42"/>
  <c r="G448" i="42" s="1"/>
  <c r="F449" i="42"/>
  <c r="G449" i="42" s="1"/>
  <c r="F450" i="42"/>
  <c r="G450" i="42" s="1"/>
  <c r="F451" i="42"/>
  <c r="G451" i="42" s="1"/>
  <c r="F452" i="42"/>
  <c r="G452" i="42" s="1"/>
  <c r="F453" i="42"/>
  <c r="G453" i="42" s="1"/>
  <c r="F454" i="42"/>
  <c r="G454" i="42" s="1"/>
  <c r="F455" i="42"/>
  <c r="G455" i="42" s="1"/>
  <c r="F456" i="42"/>
  <c r="G456" i="42" s="1"/>
  <c r="F457" i="42"/>
  <c r="G457" i="42" s="1"/>
  <c r="F458" i="42"/>
  <c r="G458" i="42" s="1"/>
  <c r="F459" i="42"/>
  <c r="G459" i="42" s="1"/>
  <c r="F460" i="42"/>
  <c r="G460" i="42" s="1"/>
  <c r="F461" i="42"/>
  <c r="G461" i="42" s="1"/>
  <c r="F462" i="42"/>
  <c r="G462" i="42" s="1"/>
  <c r="F463" i="42"/>
  <c r="G463" i="42" s="1"/>
  <c r="F464" i="42"/>
  <c r="G464" i="42" s="1"/>
  <c r="F465" i="42"/>
  <c r="G465" i="42" s="1"/>
  <c r="F466" i="42"/>
  <c r="G466" i="42" s="1"/>
  <c r="F467" i="42"/>
  <c r="G467" i="42" s="1"/>
  <c r="F468" i="42"/>
  <c r="G468" i="42" s="1"/>
  <c r="F469" i="42"/>
  <c r="G469" i="42" s="1"/>
  <c r="F470" i="42"/>
  <c r="G470" i="42" s="1"/>
  <c r="F471" i="42"/>
  <c r="G471" i="42" s="1"/>
  <c r="F472" i="42"/>
  <c r="G472" i="42" s="1"/>
  <c r="F473" i="42"/>
  <c r="G473" i="42" s="1"/>
  <c r="F474" i="42"/>
  <c r="G474" i="42" s="1"/>
  <c r="F475" i="42"/>
  <c r="G475" i="42" s="1"/>
  <c r="F476" i="42"/>
  <c r="G476" i="42" s="1"/>
  <c r="F477" i="42"/>
  <c r="G477" i="42" s="1"/>
  <c r="F478" i="42"/>
  <c r="G478" i="42" s="1"/>
  <c r="F479" i="42"/>
  <c r="G479" i="42" s="1"/>
  <c r="F480" i="42"/>
  <c r="G480" i="42" s="1"/>
  <c r="F481" i="42"/>
  <c r="G481" i="42" s="1"/>
  <c r="F482" i="42"/>
  <c r="G482" i="42" s="1"/>
  <c r="F483" i="42"/>
  <c r="G483" i="42" s="1"/>
  <c r="F484" i="42"/>
  <c r="G484" i="42" s="1"/>
  <c r="F485" i="42"/>
  <c r="G485" i="42" s="1"/>
  <c r="F486" i="42"/>
  <c r="G486" i="42" s="1"/>
  <c r="F487" i="42"/>
  <c r="G487" i="42" s="1"/>
  <c r="F488" i="42"/>
  <c r="G488" i="42" s="1"/>
  <c r="F489" i="42"/>
  <c r="G489" i="42" s="1"/>
  <c r="F490" i="42"/>
  <c r="G490" i="42" s="1"/>
  <c r="F491" i="42"/>
  <c r="G491" i="42" s="1"/>
  <c r="F492" i="42"/>
  <c r="G492" i="42" s="1"/>
  <c r="F493" i="42"/>
  <c r="G493" i="42" s="1"/>
  <c r="F494" i="42"/>
  <c r="G494" i="42" s="1"/>
  <c r="F495" i="42"/>
  <c r="G495" i="42" s="1"/>
  <c r="F496" i="42"/>
  <c r="G496" i="42" s="1"/>
  <c r="F497" i="42"/>
  <c r="G497" i="42" s="1"/>
  <c r="F498" i="42"/>
  <c r="G498" i="42" s="1"/>
  <c r="F499" i="42"/>
  <c r="G499" i="42" s="1"/>
  <c r="F500" i="42"/>
  <c r="G500" i="42" s="1"/>
  <c r="F501" i="42"/>
  <c r="G501" i="42" s="1"/>
  <c r="F502" i="42"/>
  <c r="G502" i="42" s="1"/>
  <c r="F503" i="42"/>
  <c r="G503" i="42" s="1"/>
  <c r="F504" i="42"/>
  <c r="G504" i="42" s="1"/>
  <c r="F505" i="42"/>
  <c r="G505" i="42" s="1"/>
  <c r="F506" i="42"/>
  <c r="G506" i="42" s="1"/>
  <c r="F507" i="42"/>
  <c r="G507" i="42" s="1"/>
  <c r="F508" i="42"/>
  <c r="G508" i="42" s="1"/>
  <c r="F509" i="42"/>
  <c r="G509" i="42" s="1"/>
  <c r="F510" i="42"/>
  <c r="G510" i="42" s="1"/>
  <c r="F511" i="42"/>
  <c r="G511" i="42" s="1"/>
  <c r="F512" i="42"/>
  <c r="G512" i="42" s="1"/>
  <c r="F513" i="42"/>
  <c r="G513" i="42" s="1"/>
  <c r="F514" i="42"/>
  <c r="G514" i="42" s="1"/>
  <c r="F515" i="42"/>
  <c r="G515" i="42" s="1"/>
  <c r="F516" i="42"/>
  <c r="G516" i="42" s="1"/>
  <c r="F517" i="42"/>
  <c r="G517" i="42" s="1"/>
  <c r="F518" i="42"/>
  <c r="G518" i="42" s="1"/>
  <c r="F519" i="42"/>
  <c r="G519" i="42" s="1"/>
  <c r="F520" i="42"/>
  <c r="G520" i="42" s="1"/>
  <c r="F521" i="42"/>
  <c r="G521" i="42" s="1"/>
  <c r="F522" i="42"/>
  <c r="G522" i="42" s="1"/>
  <c r="F523" i="42"/>
  <c r="G523" i="42" s="1"/>
  <c r="F524" i="42"/>
  <c r="G524" i="42" s="1"/>
  <c r="F525" i="42"/>
  <c r="G525" i="42" s="1"/>
  <c r="F526" i="42"/>
  <c r="G526" i="42" s="1"/>
  <c r="F527" i="42"/>
  <c r="G527" i="42" s="1"/>
  <c r="F528" i="42"/>
  <c r="G528" i="42" s="1"/>
  <c r="F529" i="42"/>
  <c r="G529" i="42" s="1"/>
  <c r="F530" i="42"/>
  <c r="G530" i="42" s="1"/>
  <c r="F531" i="42"/>
  <c r="G531" i="42" s="1"/>
  <c r="F532" i="42"/>
  <c r="G532" i="42" s="1"/>
  <c r="F533" i="42"/>
  <c r="G533" i="42" s="1"/>
  <c r="F534" i="42"/>
  <c r="G534" i="42" s="1"/>
  <c r="F535" i="42"/>
  <c r="G535" i="42" s="1"/>
  <c r="F536" i="42"/>
  <c r="G536" i="42" s="1"/>
  <c r="F537" i="42"/>
  <c r="G537" i="42" s="1"/>
  <c r="F538" i="42"/>
  <c r="G538" i="42" s="1"/>
  <c r="F539" i="42"/>
  <c r="G539" i="42" s="1"/>
  <c r="F540" i="42"/>
  <c r="G540" i="42" s="1"/>
  <c r="F541" i="42"/>
  <c r="G541" i="42" s="1"/>
  <c r="F542" i="42"/>
  <c r="G542" i="42" s="1"/>
  <c r="F543" i="42"/>
  <c r="G543" i="42" s="1"/>
  <c r="F544" i="42"/>
  <c r="G544" i="42" s="1"/>
  <c r="F545" i="42"/>
  <c r="G545" i="42" s="1"/>
  <c r="F546" i="42"/>
  <c r="G546" i="42" s="1"/>
  <c r="F547" i="42"/>
  <c r="G547" i="42" s="1"/>
  <c r="F548" i="42"/>
  <c r="G548" i="42" s="1"/>
  <c r="F549" i="42"/>
  <c r="G549" i="42" s="1"/>
  <c r="F550" i="42"/>
  <c r="G550" i="42" s="1"/>
  <c r="F551" i="42"/>
  <c r="G551" i="42" s="1"/>
  <c r="F552" i="42"/>
  <c r="G552" i="42" s="1"/>
  <c r="F553" i="42"/>
  <c r="G553" i="42" s="1"/>
  <c r="F554" i="42"/>
  <c r="G554" i="42" s="1"/>
  <c r="F555" i="42"/>
  <c r="G555" i="42" s="1"/>
  <c r="F556" i="42"/>
  <c r="G556" i="42" s="1"/>
  <c r="F557" i="42"/>
  <c r="G557" i="42" s="1"/>
  <c r="F558" i="42"/>
  <c r="G558" i="42" s="1"/>
  <c r="F559" i="42"/>
  <c r="G559" i="42" s="1"/>
  <c r="F560" i="42"/>
  <c r="G560" i="42" s="1"/>
  <c r="F561" i="42"/>
  <c r="G561" i="42" s="1"/>
  <c r="F562" i="42"/>
  <c r="G562" i="42" s="1"/>
  <c r="F563" i="42"/>
  <c r="G563" i="42" s="1"/>
  <c r="F564" i="42"/>
  <c r="G564" i="42" s="1"/>
  <c r="F565" i="42"/>
  <c r="G565" i="42" s="1"/>
  <c r="F566" i="42"/>
  <c r="G566" i="42" s="1"/>
  <c r="F567" i="42"/>
  <c r="G567" i="42" s="1"/>
  <c r="F568" i="42"/>
  <c r="G568" i="42" s="1"/>
  <c r="F569" i="42"/>
  <c r="G569" i="42" s="1"/>
  <c r="F570" i="42"/>
  <c r="G570" i="42" s="1"/>
  <c r="F571" i="42"/>
  <c r="G571" i="42" s="1"/>
  <c r="F572" i="42"/>
  <c r="G572" i="42" s="1"/>
  <c r="F573" i="42"/>
  <c r="G573" i="42" s="1"/>
  <c r="F574" i="42"/>
  <c r="G574" i="42" s="1"/>
  <c r="F575" i="42"/>
  <c r="G575" i="42" s="1"/>
  <c r="F576" i="42"/>
  <c r="G576" i="42" s="1"/>
  <c r="F577" i="42"/>
  <c r="G577" i="42" s="1"/>
  <c r="F578" i="42"/>
  <c r="G578" i="42" s="1"/>
  <c r="F579" i="42"/>
  <c r="G579" i="42" s="1"/>
  <c r="F580" i="42"/>
  <c r="G580" i="42" s="1"/>
  <c r="F581" i="42"/>
  <c r="G581" i="42" s="1"/>
  <c r="F582" i="42"/>
  <c r="G582" i="42" s="1"/>
  <c r="F583" i="42"/>
  <c r="G583" i="42" s="1"/>
  <c r="F584" i="42"/>
  <c r="G584" i="42" s="1"/>
  <c r="F585" i="42"/>
  <c r="G585" i="42" s="1"/>
  <c r="F586" i="42"/>
  <c r="G586" i="42" s="1"/>
  <c r="F587" i="42"/>
  <c r="G587" i="42" s="1"/>
  <c r="F588" i="42"/>
  <c r="G588" i="42" s="1"/>
  <c r="F589" i="42"/>
  <c r="G589" i="42" s="1"/>
  <c r="F590" i="42"/>
  <c r="G590" i="42" s="1"/>
  <c r="F591" i="42"/>
  <c r="G591" i="42" s="1"/>
  <c r="F592" i="42"/>
  <c r="G592" i="42" s="1"/>
  <c r="F593" i="42"/>
  <c r="G593" i="42" s="1"/>
  <c r="F594" i="42"/>
  <c r="G594" i="42" s="1"/>
  <c r="F595" i="42"/>
  <c r="G595" i="42" s="1"/>
  <c r="F596" i="42"/>
  <c r="G596" i="42" s="1"/>
  <c r="F597" i="42"/>
  <c r="G597" i="42" s="1"/>
  <c r="F598" i="42"/>
  <c r="G598" i="42" s="1"/>
  <c r="F599" i="42"/>
  <c r="G599" i="42" s="1"/>
  <c r="F600" i="42"/>
  <c r="G600" i="42" s="1"/>
  <c r="F601" i="42"/>
  <c r="G601" i="42" s="1"/>
  <c r="F602" i="42"/>
  <c r="G602" i="42" s="1"/>
  <c r="F603" i="42"/>
  <c r="G603" i="42" s="1"/>
  <c r="F604" i="42"/>
  <c r="G604" i="42" s="1"/>
  <c r="F605" i="42"/>
  <c r="G605" i="42" s="1"/>
  <c r="F606" i="42"/>
  <c r="G606" i="42" s="1"/>
  <c r="F607" i="42"/>
  <c r="G607" i="42" s="1"/>
  <c r="F608" i="42"/>
  <c r="G608" i="42" s="1"/>
  <c r="F609" i="42"/>
  <c r="G609" i="42" s="1"/>
  <c r="F610" i="42"/>
  <c r="G610" i="42" s="1"/>
  <c r="F611" i="42"/>
  <c r="G611" i="42" s="1"/>
  <c r="F612" i="42"/>
  <c r="G612" i="42" s="1"/>
  <c r="F613" i="42"/>
  <c r="G613" i="42" s="1"/>
  <c r="F614" i="42"/>
  <c r="G614" i="42" s="1"/>
  <c r="F615" i="42"/>
  <c r="G615" i="42" s="1"/>
  <c r="F616" i="42"/>
  <c r="G616" i="42" s="1"/>
  <c r="F617" i="42"/>
  <c r="G617" i="42" s="1"/>
  <c r="F618" i="42"/>
  <c r="G618" i="42" s="1"/>
  <c r="F619" i="42"/>
  <c r="G619" i="42" s="1"/>
  <c r="F620" i="42"/>
  <c r="G620" i="42" s="1"/>
  <c r="F621" i="42"/>
  <c r="G621" i="42" s="1"/>
  <c r="F622" i="42"/>
  <c r="G622" i="42" s="1"/>
  <c r="F623" i="42"/>
  <c r="G623" i="42" s="1"/>
  <c r="F624" i="42"/>
  <c r="G624" i="42" s="1"/>
  <c r="F625" i="42"/>
  <c r="G625" i="42" s="1"/>
  <c r="F626" i="42"/>
  <c r="G626" i="42" s="1"/>
  <c r="F627" i="42"/>
  <c r="G627" i="42" s="1"/>
  <c r="F628" i="42"/>
  <c r="G628" i="42" s="1"/>
  <c r="F629" i="42"/>
  <c r="G629" i="42" s="1"/>
  <c r="F630" i="42"/>
  <c r="G630" i="42" s="1"/>
  <c r="F631" i="42"/>
  <c r="G631" i="42" s="1"/>
  <c r="F632" i="42"/>
  <c r="G632" i="42" s="1"/>
  <c r="F633" i="42"/>
  <c r="G633" i="42" s="1"/>
  <c r="F634" i="42"/>
  <c r="G634" i="42" s="1"/>
  <c r="F635" i="42"/>
  <c r="G635" i="42" s="1"/>
  <c r="F636" i="42"/>
  <c r="G636" i="42" s="1"/>
  <c r="F637" i="42"/>
  <c r="G637" i="42" s="1"/>
  <c r="F638" i="42"/>
  <c r="G638" i="42" s="1"/>
  <c r="F639" i="42"/>
  <c r="G639" i="42" s="1"/>
  <c r="F640" i="42"/>
  <c r="G640" i="42" s="1"/>
  <c r="F641" i="42"/>
  <c r="G641" i="42" s="1"/>
  <c r="F642" i="42"/>
  <c r="G642" i="42" s="1"/>
  <c r="F643" i="42"/>
  <c r="G643" i="42" s="1"/>
  <c r="F644" i="42"/>
  <c r="G644" i="42" s="1"/>
  <c r="F645" i="42"/>
  <c r="G645" i="42" s="1"/>
  <c r="F646" i="42"/>
  <c r="G646" i="42" s="1"/>
  <c r="F647" i="42"/>
  <c r="G647" i="42" s="1"/>
  <c r="F648" i="42"/>
  <c r="G648" i="42" s="1"/>
  <c r="F649" i="42"/>
  <c r="G649" i="42" s="1"/>
  <c r="F650" i="42"/>
  <c r="G650" i="42" s="1"/>
  <c r="F651" i="42"/>
  <c r="G651" i="42" s="1"/>
  <c r="G4" i="40"/>
  <c r="F4" i="40"/>
  <c r="G24" i="33"/>
  <c r="F655" i="50" l="1"/>
  <c r="G655" i="50" s="1"/>
  <c r="F654" i="50"/>
  <c r="G654" i="50" s="1"/>
  <c r="F653" i="50"/>
  <c r="G653" i="50" s="1"/>
  <c r="F652" i="50"/>
  <c r="G652" i="50" s="1"/>
  <c r="F651" i="50"/>
  <c r="G651" i="50" s="1"/>
  <c r="F650" i="50"/>
  <c r="G650" i="50" s="1"/>
  <c r="F649" i="50"/>
  <c r="G649" i="50" s="1"/>
  <c r="F648" i="50"/>
  <c r="G648" i="50" s="1"/>
  <c r="F647" i="50"/>
  <c r="G647" i="50" s="1"/>
  <c r="F646" i="50"/>
  <c r="G646" i="50" s="1"/>
  <c r="F645" i="50"/>
  <c r="G645" i="50" s="1"/>
  <c r="F644" i="50"/>
  <c r="G644" i="50" s="1"/>
  <c r="F643" i="50"/>
  <c r="G643" i="50" s="1"/>
  <c r="G642" i="50"/>
  <c r="F642" i="50"/>
  <c r="F641" i="50"/>
  <c r="G641" i="50" s="1"/>
  <c r="F640" i="50"/>
  <c r="G640" i="50" s="1"/>
  <c r="F639" i="50"/>
  <c r="G639" i="50" s="1"/>
  <c r="G638" i="50"/>
  <c r="F638" i="50"/>
  <c r="F637" i="50"/>
  <c r="G637" i="50" s="1"/>
  <c r="F636" i="50"/>
  <c r="G636" i="50" s="1"/>
  <c r="F635" i="50"/>
  <c r="G635" i="50" s="1"/>
  <c r="G634" i="50"/>
  <c r="F634" i="50"/>
  <c r="F633" i="50"/>
  <c r="G633" i="50" s="1"/>
  <c r="G632" i="50"/>
  <c r="F632" i="50"/>
  <c r="F631" i="50"/>
  <c r="G631" i="50" s="1"/>
  <c r="F630" i="50"/>
  <c r="G630" i="50" s="1"/>
  <c r="F629" i="50"/>
  <c r="G629" i="50" s="1"/>
  <c r="F628" i="50"/>
  <c r="G628" i="50" s="1"/>
  <c r="F627" i="50"/>
  <c r="G627" i="50" s="1"/>
  <c r="G626" i="50"/>
  <c r="F626" i="50"/>
  <c r="F625" i="50"/>
  <c r="G625" i="50" s="1"/>
  <c r="F624" i="50"/>
  <c r="G624" i="50" s="1"/>
  <c r="F623" i="50"/>
  <c r="G623" i="50" s="1"/>
  <c r="G622" i="50"/>
  <c r="F622" i="50"/>
  <c r="F621" i="50"/>
  <c r="G621" i="50" s="1"/>
  <c r="F620" i="50"/>
  <c r="G620" i="50" s="1"/>
  <c r="F619" i="50"/>
  <c r="G619" i="50" s="1"/>
  <c r="G618" i="50"/>
  <c r="F618" i="50"/>
  <c r="F617" i="50"/>
  <c r="G617" i="50" s="1"/>
  <c r="G616" i="50"/>
  <c r="F616" i="50"/>
  <c r="F615" i="50"/>
  <c r="G615" i="50" s="1"/>
  <c r="F614" i="50"/>
  <c r="G614" i="50" s="1"/>
  <c r="F613" i="50"/>
  <c r="G613" i="50" s="1"/>
  <c r="F612" i="50"/>
  <c r="G612" i="50" s="1"/>
  <c r="F611" i="50"/>
  <c r="G611" i="50" s="1"/>
  <c r="G610" i="50"/>
  <c r="F610" i="50"/>
  <c r="F609" i="50"/>
  <c r="G609" i="50" s="1"/>
  <c r="F608" i="50"/>
  <c r="G608" i="50" s="1"/>
  <c r="F607" i="50"/>
  <c r="G607" i="50" s="1"/>
  <c r="G606" i="50"/>
  <c r="F606" i="50"/>
  <c r="F605" i="50"/>
  <c r="G605" i="50" s="1"/>
  <c r="F604" i="50"/>
  <c r="G604" i="50" s="1"/>
  <c r="F603" i="50"/>
  <c r="G603" i="50" s="1"/>
  <c r="G602" i="50"/>
  <c r="F602" i="50"/>
  <c r="F601" i="50"/>
  <c r="G601" i="50" s="1"/>
  <c r="G600" i="50"/>
  <c r="F600" i="50"/>
  <c r="F599" i="50"/>
  <c r="G599" i="50" s="1"/>
  <c r="F598" i="50"/>
  <c r="G598" i="50" s="1"/>
  <c r="F597" i="50"/>
  <c r="G597" i="50" s="1"/>
  <c r="F596" i="50"/>
  <c r="G596" i="50" s="1"/>
  <c r="F595" i="50"/>
  <c r="G595" i="50" s="1"/>
  <c r="G594" i="50"/>
  <c r="F594" i="50"/>
  <c r="F593" i="50"/>
  <c r="G593" i="50" s="1"/>
  <c r="F592" i="50"/>
  <c r="G592" i="50" s="1"/>
  <c r="F591" i="50"/>
  <c r="G591" i="50" s="1"/>
  <c r="F590" i="50"/>
  <c r="G590" i="50" s="1"/>
  <c r="F589" i="50"/>
  <c r="G589" i="50" s="1"/>
  <c r="F588" i="50"/>
  <c r="G588" i="50" s="1"/>
  <c r="F587" i="50"/>
  <c r="G587" i="50" s="1"/>
  <c r="G586" i="50"/>
  <c r="F586" i="50"/>
  <c r="F585" i="50"/>
  <c r="G585" i="50" s="1"/>
  <c r="F584" i="50"/>
  <c r="G584" i="50" s="1"/>
  <c r="F583" i="50"/>
  <c r="G583" i="50" s="1"/>
  <c r="F582" i="50"/>
  <c r="G582" i="50" s="1"/>
  <c r="F581" i="50"/>
  <c r="G581" i="50" s="1"/>
  <c r="F580" i="50"/>
  <c r="G580" i="50" s="1"/>
  <c r="F579" i="50"/>
  <c r="G579" i="50" s="1"/>
  <c r="G578" i="50"/>
  <c r="F578" i="50"/>
  <c r="F577" i="50"/>
  <c r="G577" i="50" s="1"/>
  <c r="F576" i="50"/>
  <c r="G576" i="50" s="1"/>
  <c r="F575" i="50"/>
  <c r="G575" i="50" s="1"/>
  <c r="G574" i="50"/>
  <c r="F574" i="50"/>
  <c r="F573" i="50"/>
  <c r="G573" i="50" s="1"/>
  <c r="F572" i="50"/>
  <c r="G572" i="50" s="1"/>
  <c r="F571" i="50"/>
  <c r="G571" i="50" s="1"/>
  <c r="G570" i="50"/>
  <c r="F570" i="50"/>
  <c r="F569" i="50"/>
  <c r="G569" i="50" s="1"/>
  <c r="G568" i="50"/>
  <c r="F568" i="50"/>
  <c r="F567" i="50"/>
  <c r="G567" i="50" s="1"/>
  <c r="G566" i="50"/>
  <c r="F566" i="50"/>
  <c r="F565" i="50"/>
  <c r="G565" i="50" s="1"/>
  <c r="F564" i="50"/>
  <c r="G564" i="50" s="1"/>
  <c r="F563" i="50"/>
  <c r="G563" i="50" s="1"/>
  <c r="G562" i="50"/>
  <c r="F562" i="50"/>
  <c r="F561" i="50"/>
  <c r="G561" i="50" s="1"/>
  <c r="G560" i="50"/>
  <c r="F560" i="50"/>
  <c r="F559" i="50"/>
  <c r="G559" i="50" s="1"/>
  <c r="G558" i="50"/>
  <c r="F558" i="50"/>
  <c r="F557" i="50"/>
  <c r="G557" i="50" s="1"/>
  <c r="F556" i="50"/>
  <c r="G556" i="50" s="1"/>
  <c r="F555" i="50"/>
  <c r="G555" i="50" s="1"/>
  <c r="G554" i="50"/>
  <c r="F554" i="50"/>
  <c r="F553" i="50"/>
  <c r="G553" i="50" s="1"/>
  <c r="G552" i="50"/>
  <c r="F552" i="50"/>
  <c r="F551" i="50"/>
  <c r="G551" i="50" s="1"/>
  <c r="F550" i="50"/>
  <c r="G550" i="50" s="1"/>
  <c r="F549" i="50"/>
  <c r="G549" i="50" s="1"/>
  <c r="F548" i="50"/>
  <c r="G548" i="50" s="1"/>
  <c r="F547" i="50"/>
  <c r="G547" i="50" s="1"/>
  <c r="G546" i="50"/>
  <c r="F546" i="50"/>
  <c r="F545" i="50"/>
  <c r="G545" i="50" s="1"/>
  <c r="F544" i="50"/>
  <c r="G544" i="50" s="1"/>
  <c r="F543" i="50"/>
  <c r="G543" i="50" s="1"/>
  <c r="G542" i="50"/>
  <c r="F542" i="50"/>
  <c r="F541" i="50"/>
  <c r="G541" i="50" s="1"/>
  <c r="F540" i="50"/>
  <c r="G540" i="50" s="1"/>
  <c r="F539" i="50"/>
  <c r="G539" i="50" s="1"/>
  <c r="G538" i="50"/>
  <c r="F538" i="50"/>
  <c r="F537" i="50"/>
  <c r="G537" i="50" s="1"/>
  <c r="G536" i="50"/>
  <c r="F536" i="50"/>
  <c r="F535" i="50"/>
  <c r="G535" i="50" s="1"/>
  <c r="F534" i="50"/>
  <c r="G534" i="50" s="1"/>
  <c r="F533" i="50"/>
  <c r="G533" i="50" s="1"/>
  <c r="F532" i="50"/>
  <c r="G532" i="50" s="1"/>
  <c r="F531" i="50"/>
  <c r="G531" i="50" s="1"/>
  <c r="G530" i="50"/>
  <c r="F530" i="50"/>
  <c r="F529" i="50"/>
  <c r="G529" i="50" s="1"/>
  <c r="F528" i="50"/>
  <c r="G528" i="50" s="1"/>
  <c r="F527" i="50"/>
  <c r="G527" i="50" s="1"/>
  <c r="F526" i="50"/>
  <c r="G526" i="50" s="1"/>
  <c r="F525" i="50"/>
  <c r="G525" i="50" s="1"/>
  <c r="F524" i="50"/>
  <c r="G524" i="50" s="1"/>
  <c r="F523" i="50"/>
  <c r="G523" i="50" s="1"/>
  <c r="G522" i="50"/>
  <c r="F522" i="50"/>
  <c r="F521" i="50"/>
  <c r="G521" i="50" s="1"/>
  <c r="F520" i="50"/>
  <c r="G520" i="50" s="1"/>
  <c r="F519" i="50"/>
  <c r="G519" i="50" s="1"/>
  <c r="F518" i="50"/>
  <c r="G518" i="50" s="1"/>
  <c r="F517" i="50"/>
  <c r="G517" i="50" s="1"/>
  <c r="F516" i="50"/>
  <c r="G516" i="50" s="1"/>
  <c r="F515" i="50"/>
  <c r="G515" i="50" s="1"/>
  <c r="F514" i="50"/>
  <c r="G514" i="50" s="1"/>
  <c r="F513" i="50"/>
  <c r="G513" i="50" s="1"/>
  <c r="F512" i="50"/>
  <c r="G512" i="50" s="1"/>
  <c r="F511" i="50"/>
  <c r="G511" i="50" s="1"/>
  <c r="F510" i="50"/>
  <c r="G510" i="50" s="1"/>
  <c r="F509" i="50"/>
  <c r="G509" i="50" s="1"/>
  <c r="F508" i="50"/>
  <c r="G508" i="50" s="1"/>
  <c r="F507" i="50"/>
  <c r="G507" i="50" s="1"/>
  <c r="G506" i="50"/>
  <c r="F506" i="50"/>
  <c r="F505" i="50"/>
  <c r="G505" i="50" s="1"/>
  <c r="F504" i="50"/>
  <c r="G504" i="50" s="1"/>
  <c r="F503" i="50"/>
  <c r="G503" i="50" s="1"/>
  <c r="F502" i="50"/>
  <c r="G502" i="50" s="1"/>
  <c r="F501" i="50"/>
  <c r="G501" i="50" s="1"/>
  <c r="F500" i="50"/>
  <c r="G500" i="50" s="1"/>
  <c r="F499" i="50"/>
  <c r="G499" i="50" s="1"/>
  <c r="G498" i="50"/>
  <c r="F498" i="50"/>
  <c r="F497" i="50"/>
  <c r="G497" i="50" s="1"/>
  <c r="F496" i="50"/>
  <c r="G496" i="50" s="1"/>
  <c r="F495" i="50"/>
  <c r="G495" i="50" s="1"/>
  <c r="F494" i="50"/>
  <c r="G494" i="50" s="1"/>
  <c r="F493" i="50"/>
  <c r="G493" i="50" s="1"/>
  <c r="F492" i="50"/>
  <c r="G492" i="50" s="1"/>
  <c r="F491" i="50"/>
  <c r="G491" i="50" s="1"/>
  <c r="G490" i="50"/>
  <c r="F490" i="50"/>
  <c r="F489" i="50"/>
  <c r="G489" i="50" s="1"/>
  <c r="F488" i="50"/>
  <c r="G488" i="50" s="1"/>
  <c r="F487" i="50"/>
  <c r="G487" i="50" s="1"/>
  <c r="F486" i="50"/>
  <c r="G486" i="50" s="1"/>
  <c r="G485" i="50"/>
  <c r="F485" i="50"/>
  <c r="F484" i="50"/>
  <c r="G484" i="50" s="1"/>
  <c r="G483" i="50"/>
  <c r="F483" i="50"/>
  <c r="F482" i="50"/>
  <c r="G482" i="50" s="1"/>
  <c r="F481" i="50"/>
  <c r="G481" i="50" s="1"/>
  <c r="F480" i="50"/>
  <c r="G480" i="50" s="1"/>
  <c r="G479" i="50"/>
  <c r="F479" i="50"/>
  <c r="F478" i="50"/>
  <c r="G478" i="50" s="1"/>
  <c r="F477" i="50"/>
  <c r="G477" i="50" s="1"/>
  <c r="F476" i="50"/>
  <c r="G476" i="50" s="1"/>
  <c r="F475" i="50"/>
  <c r="G475" i="50" s="1"/>
  <c r="F474" i="50"/>
  <c r="G474" i="50" s="1"/>
  <c r="F473" i="50"/>
  <c r="G473" i="50" s="1"/>
  <c r="F472" i="50"/>
  <c r="G472" i="50" s="1"/>
  <c r="F471" i="50"/>
  <c r="G471" i="50" s="1"/>
  <c r="F470" i="50"/>
  <c r="G470" i="50" s="1"/>
  <c r="G469" i="50"/>
  <c r="F469" i="50"/>
  <c r="F468" i="50"/>
  <c r="G468" i="50" s="1"/>
  <c r="G467" i="50"/>
  <c r="F467" i="50"/>
  <c r="F466" i="50"/>
  <c r="G466" i="50" s="1"/>
  <c r="F465" i="50"/>
  <c r="G465" i="50" s="1"/>
  <c r="F464" i="50"/>
  <c r="G464" i="50" s="1"/>
  <c r="G463" i="50"/>
  <c r="F463" i="50"/>
  <c r="F462" i="50"/>
  <c r="G462" i="50" s="1"/>
  <c r="F461" i="50"/>
  <c r="G461" i="50" s="1"/>
  <c r="F460" i="50"/>
  <c r="G460" i="50" s="1"/>
  <c r="F459" i="50"/>
  <c r="G459" i="50" s="1"/>
  <c r="F458" i="50"/>
  <c r="G458" i="50" s="1"/>
  <c r="F457" i="50"/>
  <c r="G457" i="50" s="1"/>
  <c r="F456" i="50"/>
  <c r="G456" i="50" s="1"/>
  <c r="F455" i="50"/>
  <c r="G455" i="50" s="1"/>
  <c r="F454" i="50"/>
  <c r="G454" i="50" s="1"/>
  <c r="G453" i="50"/>
  <c r="F453" i="50"/>
  <c r="F452" i="50"/>
  <c r="G452" i="50" s="1"/>
  <c r="G451" i="50"/>
  <c r="F451" i="50"/>
  <c r="F450" i="50"/>
  <c r="G450" i="50" s="1"/>
  <c r="F449" i="50"/>
  <c r="G449" i="50" s="1"/>
  <c r="F448" i="50"/>
  <c r="G448" i="50" s="1"/>
  <c r="G447" i="50"/>
  <c r="F447" i="50"/>
  <c r="F446" i="50"/>
  <c r="G446" i="50" s="1"/>
  <c r="F445" i="50"/>
  <c r="G445" i="50" s="1"/>
  <c r="F444" i="50"/>
  <c r="G444" i="50" s="1"/>
  <c r="F443" i="50"/>
  <c r="G443" i="50" s="1"/>
  <c r="F442" i="50"/>
  <c r="G442" i="50" s="1"/>
  <c r="F441" i="50"/>
  <c r="G441" i="50" s="1"/>
  <c r="F440" i="50"/>
  <c r="G440" i="50" s="1"/>
  <c r="F439" i="50"/>
  <c r="G439" i="50" s="1"/>
  <c r="F438" i="50"/>
  <c r="G438" i="50" s="1"/>
  <c r="G437" i="50"/>
  <c r="F437" i="50"/>
  <c r="F436" i="50"/>
  <c r="G436" i="50" s="1"/>
  <c r="G435" i="50"/>
  <c r="F435" i="50"/>
  <c r="F434" i="50"/>
  <c r="G434" i="50" s="1"/>
  <c r="F433" i="50"/>
  <c r="G433" i="50" s="1"/>
  <c r="F432" i="50"/>
  <c r="G432" i="50" s="1"/>
  <c r="G431" i="50"/>
  <c r="F431" i="50"/>
  <c r="F430" i="50"/>
  <c r="G430" i="50" s="1"/>
  <c r="F429" i="50"/>
  <c r="G429" i="50" s="1"/>
  <c r="F428" i="50"/>
  <c r="G428" i="50" s="1"/>
  <c r="F427" i="50"/>
  <c r="G427" i="50" s="1"/>
  <c r="F426" i="50"/>
  <c r="G426" i="50" s="1"/>
  <c r="G425" i="50"/>
  <c r="F425" i="50"/>
  <c r="F424" i="50"/>
  <c r="G424" i="50" s="1"/>
  <c r="F423" i="50"/>
  <c r="G423" i="50" s="1"/>
  <c r="F422" i="50"/>
  <c r="G422" i="50" s="1"/>
  <c r="G421" i="50"/>
  <c r="F421" i="50"/>
  <c r="F420" i="50"/>
  <c r="G420" i="50" s="1"/>
  <c r="G419" i="50"/>
  <c r="F419" i="50"/>
  <c r="F418" i="50"/>
  <c r="G418" i="50" s="1"/>
  <c r="F417" i="50"/>
  <c r="G417" i="50" s="1"/>
  <c r="F416" i="50"/>
  <c r="G416" i="50" s="1"/>
  <c r="G415" i="50"/>
  <c r="F415" i="50"/>
  <c r="F414" i="50"/>
  <c r="G414" i="50" s="1"/>
  <c r="F413" i="50"/>
  <c r="G413" i="50" s="1"/>
  <c r="F412" i="50"/>
  <c r="G412" i="50" s="1"/>
  <c r="F411" i="50"/>
  <c r="G411" i="50" s="1"/>
  <c r="F410" i="50"/>
  <c r="G410" i="50" s="1"/>
  <c r="G409" i="50"/>
  <c r="F409" i="50"/>
  <c r="F408" i="50"/>
  <c r="G408" i="50" s="1"/>
  <c r="F407" i="50"/>
  <c r="G407" i="50" s="1"/>
  <c r="F406" i="50"/>
  <c r="G406" i="50" s="1"/>
  <c r="G405" i="50"/>
  <c r="F405" i="50"/>
  <c r="F404" i="50"/>
  <c r="G404" i="50" s="1"/>
  <c r="G403" i="50"/>
  <c r="F403" i="50"/>
  <c r="F402" i="50"/>
  <c r="G402" i="50" s="1"/>
  <c r="F401" i="50"/>
  <c r="G401" i="50" s="1"/>
  <c r="F400" i="50"/>
  <c r="G400" i="50" s="1"/>
  <c r="G399" i="50"/>
  <c r="F399" i="50"/>
  <c r="F398" i="50"/>
  <c r="G398" i="50" s="1"/>
  <c r="F397" i="50"/>
  <c r="G397" i="50" s="1"/>
  <c r="F396" i="50"/>
  <c r="G396" i="50" s="1"/>
  <c r="F395" i="50"/>
  <c r="G395" i="50" s="1"/>
  <c r="F394" i="50"/>
  <c r="G394" i="50" s="1"/>
  <c r="G393" i="50"/>
  <c r="F393" i="50"/>
  <c r="F392" i="50"/>
  <c r="G392" i="50" s="1"/>
  <c r="F391" i="50"/>
  <c r="G391" i="50" s="1"/>
  <c r="F390" i="50"/>
  <c r="G390" i="50" s="1"/>
  <c r="G389" i="50"/>
  <c r="F389" i="50"/>
  <c r="F388" i="50"/>
  <c r="G388" i="50" s="1"/>
  <c r="G387" i="50"/>
  <c r="F387" i="50"/>
  <c r="F386" i="50"/>
  <c r="G386" i="50" s="1"/>
  <c r="F385" i="50"/>
  <c r="G385" i="50" s="1"/>
  <c r="F384" i="50"/>
  <c r="G384" i="50" s="1"/>
  <c r="G383" i="50"/>
  <c r="F383" i="50"/>
  <c r="F382" i="50"/>
  <c r="G382" i="50" s="1"/>
  <c r="F381" i="50"/>
  <c r="G381" i="50" s="1"/>
  <c r="F380" i="50"/>
  <c r="G380" i="50" s="1"/>
  <c r="F379" i="50"/>
  <c r="G379" i="50" s="1"/>
  <c r="F378" i="50"/>
  <c r="G378" i="50" s="1"/>
  <c r="G377" i="50"/>
  <c r="F377" i="50"/>
  <c r="F376" i="50"/>
  <c r="G376" i="50" s="1"/>
  <c r="F375" i="50"/>
  <c r="G375" i="50" s="1"/>
  <c r="F374" i="50"/>
  <c r="G374" i="50" s="1"/>
  <c r="G373" i="50"/>
  <c r="F373" i="50"/>
  <c r="F372" i="50"/>
  <c r="G372" i="50" s="1"/>
  <c r="G371" i="50"/>
  <c r="F371" i="50"/>
  <c r="F370" i="50"/>
  <c r="G370" i="50" s="1"/>
  <c r="F369" i="50"/>
  <c r="G369" i="50" s="1"/>
  <c r="F368" i="50"/>
  <c r="G368" i="50" s="1"/>
  <c r="G367" i="50"/>
  <c r="F367" i="50"/>
  <c r="F366" i="50"/>
  <c r="G366" i="50" s="1"/>
  <c r="F365" i="50"/>
  <c r="G365" i="50" s="1"/>
  <c r="F364" i="50"/>
  <c r="G364" i="50" s="1"/>
  <c r="F363" i="50"/>
  <c r="G363" i="50" s="1"/>
  <c r="F362" i="50"/>
  <c r="G362" i="50" s="1"/>
  <c r="G361" i="50"/>
  <c r="F361" i="50"/>
  <c r="F360" i="50"/>
  <c r="G360" i="50" s="1"/>
  <c r="F359" i="50"/>
  <c r="G359" i="50" s="1"/>
  <c r="F358" i="50"/>
  <c r="G358" i="50" s="1"/>
  <c r="G357" i="50"/>
  <c r="F357" i="50"/>
  <c r="F356" i="50"/>
  <c r="G356" i="50" s="1"/>
  <c r="G355" i="50"/>
  <c r="F355" i="50"/>
  <c r="F354" i="50"/>
  <c r="G354" i="50" s="1"/>
  <c r="F353" i="50"/>
  <c r="G353" i="50" s="1"/>
  <c r="F352" i="50"/>
  <c r="G352" i="50" s="1"/>
  <c r="G351" i="50"/>
  <c r="F351" i="50"/>
  <c r="F350" i="50"/>
  <c r="G350" i="50" s="1"/>
  <c r="F349" i="50"/>
  <c r="G349" i="50" s="1"/>
  <c r="F348" i="50"/>
  <c r="G348" i="50" s="1"/>
  <c r="F347" i="50"/>
  <c r="G347" i="50" s="1"/>
  <c r="F346" i="50"/>
  <c r="G346" i="50" s="1"/>
  <c r="G345" i="50"/>
  <c r="F345" i="50"/>
  <c r="F344" i="50"/>
  <c r="G344" i="50" s="1"/>
  <c r="F343" i="50"/>
  <c r="G343" i="50" s="1"/>
  <c r="F342" i="50"/>
  <c r="G342" i="50" s="1"/>
  <c r="G341" i="50"/>
  <c r="F341" i="50"/>
  <c r="F340" i="50"/>
  <c r="G340" i="50" s="1"/>
  <c r="G339" i="50"/>
  <c r="F339" i="50"/>
  <c r="F338" i="50"/>
  <c r="G338" i="50" s="1"/>
  <c r="F337" i="50"/>
  <c r="G337" i="50" s="1"/>
  <c r="F336" i="50"/>
  <c r="G336" i="50" s="1"/>
  <c r="G335" i="50"/>
  <c r="F335" i="50"/>
  <c r="F334" i="50"/>
  <c r="G334" i="50" s="1"/>
  <c r="F333" i="50"/>
  <c r="G333" i="50" s="1"/>
  <c r="F332" i="50"/>
  <c r="G332" i="50" s="1"/>
  <c r="F331" i="50"/>
  <c r="G331" i="50" s="1"/>
  <c r="F330" i="50"/>
  <c r="G330" i="50" s="1"/>
  <c r="G329" i="50"/>
  <c r="F329" i="50"/>
  <c r="F328" i="50"/>
  <c r="G328" i="50" s="1"/>
  <c r="F327" i="50"/>
  <c r="G327" i="50" s="1"/>
  <c r="F326" i="50"/>
  <c r="G326" i="50" s="1"/>
  <c r="G325" i="50"/>
  <c r="F325" i="50"/>
  <c r="F324" i="50"/>
  <c r="G324" i="50" s="1"/>
  <c r="G323" i="50"/>
  <c r="F323" i="50"/>
  <c r="F322" i="50"/>
  <c r="G322" i="50" s="1"/>
  <c r="F321" i="50"/>
  <c r="G321" i="50" s="1"/>
  <c r="F320" i="50"/>
  <c r="G320" i="50" s="1"/>
  <c r="G319" i="50"/>
  <c r="F319" i="50"/>
  <c r="F318" i="50"/>
  <c r="G318" i="50" s="1"/>
  <c r="F317" i="50"/>
  <c r="G317" i="50" s="1"/>
  <c r="F316" i="50"/>
  <c r="G316" i="50" s="1"/>
  <c r="F315" i="50"/>
  <c r="G315" i="50" s="1"/>
  <c r="F314" i="50"/>
  <c r="G314" i="50" s="1"/>
  <c r="G313" i="50"/>
  <c r="F313" i="50"/>
  <c r="F312" i="50"/>
  <c r="G312" i="50" s="1"/>
  <c r="F311" i="50"/>
  <c r="G311" i="50" s="1"/>
  <c r="F310" i="50"/>
  <c r="G310" i="50" s="1"/>
  <c r="G309" i="50"/>
  <c r="F309" i="50"/>
  <c r="F308" i="50"/>
  <c r="G308" i="50" s="1"/>
  <c r="G307" i="50"/>
  <c r="F307" i="50"/>
  <c r="F306" i="50"/>
  <c r="G306" i="50" s="1"/>
  <c r="F305" i="50"/>
  <c r="G305" i="50" s="1"/>
  <c r="F304" i="50"/>
  <c r="G304" i="50" s="1"/>
  <c r="G303" i="50"/>
  <c r="F303" i="50"/>
  <c r="F302" i="50"/>
  <c r="G302" i="50" s="1"/>
  <c r="F301" i="50"/>
  <c r="G301" i="50" s="1"/>
  <c r="F300" i="50"/>
  <c r="G300" i="50" s="1"/>
  <c r="F299" i="50"/>
  <c r="G299" i="50" s="1"/>
  <c r="F298" i="50"/>
  <c r="G298" i="50" s="1"/>
  <c r="G297" i="50"/>
  <c r="F297" i="50"/>
  <c r="F296" i="50"/>
  <c r="G296" i="50" s="1"/>
  <c r="F295" i="50"/>
  <c r="G295" i="50" s="1"/>
  <c r="F294" i="50"/>
  <c r="G294" i="50" s="1"/>
  <c r="G293" i="50"/>
  <c r="F293" i="50"/>
  <c r="F292" i="50"/>
  <c r="G292" i="50" s="1"/>
  <c r="G291" i="50"/>
  <c r="F291" i="50"/>
  <c r="F290" i="50"/>
  <c r="G290" i="50" s="1"/>
  <c r="F289" i="50"/>
  <c r="G289" i="50" s="1"/>
  <c r="F288" i="50"/>
  <c r="G288" i="50" s="1"/>
  <c r="G287" i="50"/>
  <c r="F287" i="50"/>
  <c r="F286" i="50"/>
  <c r="G286" i="50" s="1"/>
  <c r="F285" i="50"/>
  <c r="G285" i="50" s="1"/>
  <c r="F284" i="50"/>
  <c r="G284" i="50" s="1"/>
  <c r="F283" i="50"/>
  <c r="G283" i="50" s="1"/>
  <c r="F282" i="50"/>
  <c r="G282" i="50" s="1"/>
  <c r="G281" i="50"/>
  <c r="F281" i="50"/>
  <c r="F280" i="50"/>
  <c r="G280" i="50" s="1"/>
  <c r="F279" i="50"/>
  <c r="G279" i="50" s="1"/>
  <c r="F278" i="50"/>
  <c r="G278" i="50" s="1"/>
  <c r="G277" i="50"/>
  <c r="F277" i="50"/>
  <c r="F276" i="50"/>
  <c r="G276" i="50" s="1"/>
  <c r="G275" i="50"/>
  <c r="F275" i="50"/>
  <c r="F274" i="50"/>
  <c r="G274" i="50" s="1"/>
  <c r="F273" i="50"/>
  <c r="G273" i="50" s="1"/>
  <c r="F272" i="50"/>
  <c r="G272" i="50" s="1"/>
  <c r="G271" i="50"/>
  <c r="F271" i="50"/>
  <c r="F270" i="50"/>
  <c r="G270" i="50" s="1"/>
  <c r="F269" i="50"/>
  <c r="G269" i="50" s="1"/>
  <c r="F268" i="50"/>
  <c r="G268" i="50" s="1"/>
  <c r="F267" i="50"/>
  <c r="G267" i="50" s="1"/>
  <c r="F266" i="50"/>
  <c r="G266" i="50" s="1"/>
  <c r="G265" i="50"/>
  <c r="F265" i="50"/>
  <c r="F264" i="50"/>
  <c r="G264" i="50" s="1"/>
  <c r="F263" i="50"/>
  <c r="G263" i="50" s="1"/>
  <c r="F262" i="50"/>
  <c r="G262" i="50" s="1"/>
  <c r="G261" i="50"/>
  <c r="F261" i="50"/>
  <c r="F260" i="50"/>
  <c r="G260" i="50" s="1"/>
  <c r="G259" i="50"/>
  <c r="F259" i="50"/>
  <c r="F258" i="50"/>
  <c r="G258" i="50" s="1"/>
  <c r="F257" i="50"/>
  <c r="G257" i="50" s="1"/>
  <c r="F256" i="50"/>
  <c r="G256" i="50" s="1"/>
  <c r="G255" i="50"/>
  <c r="F255" i="50"/>
  <c r="F254" i="50"/>
  <c r="G254" i="50" s="1"/>
  <c r="F253" i="50"/>
  <c r="G253" i="50" s="1"/>
  <c r="F252" i="50"/>
  <c r="G252" i="50" s="1"/>
  <c r="F251" i="50"/>
  <c r="G251" i="50" s="1"/>
  <c r="F250" i="50"/>
  <c r="G250" i="50" s="1"/>
  <c r="G249" i="50"/>
  <c r="F249" i="50"/>
  <c r="F248" i="50"/>
  <c r="G248" i="50" s="1"/>
  <c r="F247" i="50"/>
  <c r="G247" i="50" s="1"/>
  <c r="F246" i="50"/>
  <c r="G246" i="50" s="1"/>
  <c r="G245" i="50"/>
  <c r="F245" i="50"/>
  <c r="F244" i="50"/>
  <c r="G244" i="50" s="1"/>
  <c r="G243" i="50"/>
  <c r="F243" i="50"/>
  <c r="F242" i="50"/>
  <c r="G242" i="50" s="1"/>
  <c r="F241" i="50"/>
  <c r="G241" i="50" s="1"/>
  <c r="F240" i="50"/>
  <c r="G240" i="50" s="1"/>
  <c r="G239" i="50"/>
  <c r="F239" i="50"/>
  <c r="F238" i="50"/>
  <c r="G238" i="50" s="1"/>
  <c r="F237" i="50"/>
  <c r="G237" i="50" s="1"/>
  <c r="F236" i="50"/>
  <c r="G236" i="50" s="1"/>
  <c r="F235" i="50"/>
  <c r="G235" i="50" s="1"/>
  <c r="F234" i="50"/>
  <c r="G234" i="50" s="1"/>
  <c r="G233" i="50"/>
  <c r="F233" i="50"/>
  <c r="F232" i="50"/>
  <c r="G232" i="50" s="1"/>
  <c r="F231" i="50"/>
  <c r="G231" i="50" s="1"/>
  <c r="F230" i="50"/>
  <c r="G230" i="50" s="1"/>
  <c r="G229" i="50"/>
  <c r="F229" i="50"/>
  <c r="F228" i="50"/>
  <c r="G228" i="50" s="1"/>
  <c r="G227" i="50"/>
  <c r="F227" i="50"/>
  <c r="F226" i="50"/>
  <c r="G226" i="50" s="1"/>
  <c r="F225" i="50"/>
  <c r="G225" i="50" s="1"/>
  <c r="F224" i="50"/>
  <c r="G224" i="50" s="1"/>
  <c r="G223" i="50"/>
  <c r="F223" i="50"/>
  <c r="F222" i="50"/>
  <c r="G222" i="50" s="1"/>
  <c r="F221" i="50"/>
  <c r="G221" i="50" s="1"/>
  <c r="F220" i="50"/>
  <c r="G220" i="50" s="1"/>
  <c r="F219" i="50"/>
  <c r="G219" i="50" s="1"/>
  <c r="F218" i="50"/>
  <c r="G218" i="50" s="1"/>
  <c r="G217" i="50"/>
  <c r="F217" i="50"/>
  <c r="F216" i="50"/>
  <c r="G216" i="50" s="1"/>
  <c r="F215" i="50"/>
  <c r="G215" i="50" s="1"/>
  <c r="F214" i="50"/>
  <c r="G214" i="50" s="1"/>
  <c r="G213" i="50"/>
  <c r="F213" i="50"/>
  <c r="F212" i="50"/>
  <c r="G212" i="50" s="1"/>
  <c r="G211" i="50"/>
  <c r="F211" i="50"/>
  <c r="F210" i="50"/>
  <c r="G210" i="50" s="1"/>
  <c r="F209" i="50"/>
  <c r="G209" i="50" s="1"/>
  <c r="F208" i="50"/>
  <c r="G208" i="50" s="1"/>
  <c r="G207" i="50"/>
  <c r="F207" i="50"/>
  <c r="F206" i="50"/>
  <c r="G206" i="50" s="1"/>
  <c r="F205" i="50"/>
  <c r="G205" i="50" s="1"/>
  <c r="F204" i="50"/>
  <c r="G204" i="50" s="1"/>
  <c r="F203" i="50"/>
  <c r="G203" i="50" s="1"/>
  <c r="F202" i="50"/>
  <c r="G202" i="50" s="1"/>
  <c r="G201" i="50"/>
  <c r="F201" i="50"/>
  <c r="F200" i="50"/>
  <c r="G200" i="50" s="1"/>
  <c r="F199" i="50"/>
  <c r="G199" i="50" s="1"/>
  <c r="F198" i="50"/>
  <c r="G198" i="50" s="1"/>
  <c r="G197" i="50"/>
  <c r="F197" i="50"/>
  <c r="F196" i="50"/>
  <c r="G196" i="50" s="1"/>
  <c r="G195" i="50"/>
  <c r="F195" i="50"/>
  <c r="F194" i="50"/>
  <c r="G194" i="50" s="1"/>
  <c r="F193" i="50"/>
  <c r="G193" i="50" s="1"/>
  <c r="F192" i="50"/>
  <c r="G192" i="50" s="1"/>
  <c r="G191" i="50"/>
  <c r="F191" i="50"/>
  <c r="F190" i="50"/>
  <c r="G190" i="50" s="1"/>
  <c r="F189" i="50"/>
  <c r="G189" i="50" s="1"/>
  <c r="F188" i="50"/>
  <c r="G188" i="50" s="1"/>
  <c r="F187" i="50"/>
  <c r="G187" i="50" s="1"/>
  <c r="G186" i="50"/>
  <c r="F186" i="50"/>
  <c r="G185" i="50"/>
  <c r="F185" i="50"/>
  <c r="F184" i="50"/>
  <c r="G184" i="50" s="1"/>
  <c r="F183" i="50"/>
  <c r="G183" i="50" s="1"/>
  <c r="G182" i="50"/>
  <c r="F182" i="50"/>
  <c r="G181" i="50"/>
  <c r="F181" i="50"/>
  <c r="F180" i="50"/>
  <c r="G180" i="50" s="1"/>
  <c r="F179" i="50"/>
  <c r="G179" i="50" s="1"/>
  <c r="G178" i="50"/>
  <c r="F178" i="50"/>
  <c r="G177" i="50"/>
  <c r="F177" i="50"/>
  <c r="F176" i="50"/>
  <c r="G176" i="50" s="1"/>
  <c r="F175" i="50"/>
  <c r="G175" i="50" s="1"/>
  <c r="G174" i="50"/>
  <c r="F174" i="50"/>
  <c r="G173" i="50"/>
  <c r="F173" i="50"/>
  <c r="F172" i="50"/>
  <c r="G172" i="50" s="1"/>
  <c r="F171" i="50"/>
  <c r="G171" i="50" s="1"/>
  <c r="G170" i="50"/>
  <c r="F170" i="50"/>
  <c r="G169" i="50"/>
  <c r="F169" i="50"/>
  <c r="F168" i="50"/>
  <c r="G168" i="50" s="1"/>
  <c r="F167" i="50"/>
  <c r="G167" i="50" s="1"/>
  <c r="G166" i="50"/>
  <c r="F166" i="50"/>
  <c r="G165" i="50"/>
  <c r="F165" i="50"/>
  <c r="F164" i="50"/>
  <c r="G164" i="50" s="1"/>
  <c r="F163" i="50"/>
  <c r="G163" i="50" s="1"/>
  <c r="G162" i="50"/>
  <c r="F162" i="50"/>
  <c r="G161" i="50"/>
  <c r="F161" i="50"/>
  <c r="F160" i="50"/>
  <c r="G160" i="50" s="1"/>
  <c r="F159" i="50"/>
  <c r="G159" i="50" s="1"/>
  <c r="G158" i="50"/>
  <c r="F158" i="50"/>
  <c r="G157" i="50"/>
  <c r="F157" i="50"/>
  <c r="F156" i="50"/>
  <c r="G156" i="50" s="1"/>
  <c r="F155" i="50"/>
  <c r="G155" i="50" s="1"/>
  <c r="G154" i="50"/>
  <c r="F154" i="50"/>
  <c r="G153" i="50"/>
  <c r="F153" i="50"/>
  <c r="F152" i="50"/>
  <c r="G152" i="50" s="1"/>
  <c r="F151" i="50"/>
  <c r="G151" i="50" s="1"/>
  <c r="G150" i="50"/>
  <c r="F150" i="50"/>
  <c r="G149" i="50"/>
  <c r="F149" i="50"/>
  <c r="F148" i="50"/>
  <c r="G148" i="50" s="1"/>
  <c r="F147" i="50"/>
  <c r="G147" i="50" s="1"/>
  <c r="G146" i="50"/>
  <c r="F146" i="50"/>
  <c r="G145" i="50"/>
  <c r="F145" i="50"/>
  <c r="F144" i="50"/>
  <c r="G144" i="50" s="1"/>
  <c r="F143" i="50"/>
  <c r="G143" i="50" s="1"/>
  <c r="G142" i="50"/>
  <c r="F142" i="50"/>
  <c r="G141" i="50"/>
  <c r="F141" i="50"/>
  <c r="F140" i="50"/>
  <c r="G140" i="50" s="1"/>
  <c r="F139" i="50"/>
  <c r="G139" i="50" s="1"/>
  <c r="G138" i="50"/>
  <c r="F138" i="50"/>
  <c r="G137" i="50"/>
  <c r="F137" i="50"/>
  <c r="F136" i="50"/>
  <c r="G136" i="50" s="1"/>
  <c r="F135" i="50"/>
  <c r="G135" i="50" s="1"/>
  <c r="G134" i="50"/>
  <c r="F134" i="50"/>
  <c r="G133" i="50"/>
  <c r="F133" i="50"/>
  <c r="F132" i="50"/>
  <c r="G132" i="50" s="1"/>
  <c r="F131" i="50"/>
  <c r="G131" i="50" s="1"/>
  <c r="G130" i="50"/>
  <c r="F130" i="50"/>
  <c r="G129" i="50"/>
  <c r="F129" i="50"/>
  <c r="F128" i="50"/>
  <c r="G128" i="50" s="1"/>
  <c r="F127" i="50"/>
  <c r="G127" i="50" s="1"/>
  <c r="G126" i="50"/>
  <c r="F126" i="50"/>
  <c r="G125" i="50"/>
  <c r="F125" i="50"/>
  <c r="F124" i="50"/>
  <c r="G124" i="50" s="1"/>
  <c r="F123" i="50"/>
  <c r="G123" i="50" s="1"/>
  <c r="G122" i="50"/>
  <c r="F122" i="50"/>
  <c r="G121" i="50"/>
  <c r="F121" i="50"/>
  <c r="F120" i="50"/>
  <c r="G120" i="50" s="1"/>
  <c r="F119" i="50"/>
  <c r="G119" i="50" s="1"/>
  <c r="G118" i="50"/>
  <c r="F118" i="50"/>
  <c r="G117" i="50"/>
  <c r="F117" i="50"/>
  <c r="F116" i="50"/>
  <c r="G116" i="50" s="1"/>
  <c r="F115" i="50"/>
  <c r="G115" i="50" s="1"/>
  <c r="G114" i="50"/>
  <c r="F114" i="50"/>
  <c r="G113" i="50"/>
  <c r="F113" i="50"/>
  <c r="F112" i="50"/>
  <c r="G112" i="50" s="1"/>
  <c r="F111" i="50"/>
  <c r="G111" i="50" s="1"/>
  <c r="G110" i="50"/>
  <c r="F110" i="50"/>
  <c r="G109" i="50"/>
  <c r="F109" i="50"/>
  <c r="F108" i="50"/>
  <c r="G108" i="50" s="1"/>
  <c r="F107" i="50"/>
  <c r="G107" i="50" s="1"/>
  <c r="G106" i="50"/>
  <c r="F106" i="50"/>
  <c r="G105" i="50"/>
  <c r="F105" i="50"/>
  <c r="F104" i="50"/>
  <c r="G104" i="50" s="1"/>
  <c r="F103" i="50"/>
  <c r="G103" i="50" s="1"/>
  <c r="G102" i="50"/>
  <c r="F102" i="50"/>
  <c r="G101" i="50"/>
  <c r="F101" i="50"/>
  <c r="F100" i="50"/>
  <c r="G100" i="50" s="1"/>
  <c r="F99" i="50"/>
  <c r="G99" i="50" s="1"/>
  <c r="G98" i="50"/>
  <c r="F98" i="50"/>
  <c r="G97" i="50"/>
  <c r="F97" i="50"/>
  <c r="F96" i="50"/>
  <c r="G96" i="50" s="1"/>
  <c r="F95" i="50"/>
  <c r="G95" i="50" s="1"/>
  <c r="G94" i="50"/>
  <c r="F94" i="50"/>
  <c r="G93" i="50"/>
  <c r="F93" i="50"/>
  <c r="F92" i="50"/>
  <c r="G92" i="50" s="1"/>
  <c r="F91" i="50"/>
  <c r="G91" i="50" s="1"/>
  <c r="G90" i="50"/>
  <c r="F90" i="50"/>
  <c r="G89" i="50"/>
  <c r="F89" i="50"/>
  <c r="F88" i="50"/>
  <c r="G88" i="50" s="1"/>
  <c r="F87" i="50"/>
  <c r="G87" i="50" s="1"/>
  <c r="G86" i="50"/>
  <c r="F86" i="50"/>
  <c r="G85" i="50"/>
  <c r="F85" i="50"/>
  <c r="F84" i="50"/>
  <c r="G84" i="50" s="1"/>
  <c r="F83" i="50"/>
  <c r="G83" i="50" s="1"/>
  <c r="G82" i="50"/>
  <c r="F82" i="50"/>
  <c r="G81" i="50"/>
  <c r="F81" i="50"/>
  <c r="F80" i="50"/>
  <c r="G80" i="50" s="1"/>
  <c r="F79" i="50"/>
  <c r="G79" i="50" s="1"/>
  <c r="G78" i="50"/>
  <c r="F78" i="50"/>
  <c r="G77" i="50"/>
  <c r="F77" i="50"/>
  <c r="F76" i="50"/>
  <c r="G76" i="50" s="1"/>
  <c r="F75" i="50"/>
  <c r="G75" i="50" s="1"/>
  <c r="G74" i="50"/>
  <c r="F74" i="50"/>
  <c r="G73" i="50"/>
  <c r="F73" i="50"/>
  <c r="F72" i="50"/>
  <c r="G72" i="50" s="1"/>
  <c r="F71" i="50"/>
  <c r="G71" i="50" s="1"/>
  <c r="G70" i="50"/>
  <c r="F70" i="50"/>
  <c r="G69" i="50"/>
  <c r="F69" i="50"/>
  <c r="F68" i="50"/>
  <c r="G68" i="50" s="1"/>
  <c r="F67" i="50"/>
  <c r="G67" i="50" s="1"/>
  <c r="G66" i="50"/>
  <c r="F66" i="50"/>
  <c r="G65" i="50"/>
  <c r="F65" i="50"/>
  <c r="F64" i="50"/>
  <c r="G64" i="50" s="1"/>
  <c r="F63" i="50"/>
  <c r="G63" i="50" s="1"/>
  <c r="G62" i="50"/>
  <c r="F62" i="50"/>
  <c r="G61" i="50"/>
  <c r="F61" i="50"/>
  <c r="F60" i="50"/>
  <c r="G60" i="50" s="1"/>
  <c r="F59" i="50"/>
  <c r="G59" i="50" s="1"/>
  <c r="G58" i="50"/>
  <c r="F58" i="50"/>
  <c r="G57" i="50"/>
  <c r="F57" i="50"/>
  <c r="F56" i="50"/>
  <c r="G56" i="50" s="1"/>
  <c r="F55" i="50"/>
  <c r="G55" i="50" s="1"/>
  <c r="G54" i="50"/>
  <c r="F54" i="50"/>
  <c r="G53" i="50"/>
  <c r="F53" i="50"/>
  <c r="F52" i="50"/>
  <c r="G52" i="50" s="1"/>
  <c r="F51" i="50"/>
  <c r="G51" i="50" s="1"/>
  <c r="G50" i="50"/>
  <c r="F50" i="50"/>
  <c r="G49" i="50"/>
  <c r="F49" i="50"/>
  <c r="F48" i="50"/>
  <c r="G48" i="50" s="1"/>
  <c r="F47" i="50"/>
  <c r="G47" i="50" s="1"/>
  <c r="G46" i="50"/>
  <c r="F46" i="50"/>
  <c r="G45" i="50"/>
  <c r="F45" i="50"/>
  <c r="F44" i="50"/>
  <c r="G44" i="50" s="1"/>
  <c r="F43" i="50"/>
  <c r="G43" i="50" s="1"/>
  <c r="G42" i="50"/>
  <c r="F42" i="50"/>
  <c r="G41" i="50"/>
  <c r="F41" i="50"/>
  <c r="F40" i="50"/>
  <c r="G40" i="50" s="1"/>
  <c r="F39" i="50"/>
  <c r="G39" i="50" s="1"/>
  <c r="G38" i="50"/>
  <c r="F38" i="50"/>
  <c r="G37" i="50"/>
  <c r="F37" i="50"/>
  <c r="F36" i="50"/>
  <c r="G36" i="50" s="1"/>
  <c r="F35" i="50"/>
  <c r="G35" i="50" s="1"/>
  <c r="G34" i="50"/>
  <c r="F34" i="50"/>
  <c r="G33" i="50"/>
  <c r="F33" i="50"/>
  <c r="F32" i="50"/>
  <c r="G32" i="50" s="1"/>
  <c r="F31" i="50"/>
  <c r="G31" i="50" s="1"/>
  <c r="G30" i="50"/>
  <c r="F30" i="50"/>
  <c r="G29" i="50"/>
  <c r="F29" i="50"/>
  <c r="F28" i="50"/>
  <c r="G28" i="50" s="1"/>
  <c r="F27" i="50"/>
  <c r="G27" i="50" s="1"/>
  <c r="G26" i="50"/>
  <c r="F26" i="50"/>
  <c r="G25" i="50"/>
  <c r="F25" i="50"/>
  <c r="F24" i="50"/>
  <c r="G24" i="50" s="1"/>
  <c r="F23" i="50"/>
  <c r="G23" i="50" s="1"/>
  <c r="G22" i="50"/>
  <c r="F22" i="50"/>
  <c r="G21" i="50"/>
  <c r="F21" i="50"/>
  <c r="F20" i="50"/>
  <c r="G20" i="50" s="1"/>
  <c r="A12" i="50"/>
  <c r="A11" i="50"/>
  <c r="AG7" i="50"/>
  <c r="A7" i="50"/>
  <c r="A6" i="50"/>
  <c r="A5" i="50"/>
  <c r="AG4" i="50"/>
  <c r="A4" i="50"/>
  <c r="AG3" i="50"/>
  <c r="G24" i="41"/>
  <c r="AG9" i="50" l="1"/>
  <c r="AG11" i="50"/>
  <c r="A12" i="42"/>
  <c r="A11" i="42"/>
  <c r="A7" i="42"/>
  <c r="A5" i="42"/>
  <c r="A6" i="42"/>
  <c r="A4" i="42"/>
  <c r="G16" i="41" l="1"/>
  <c r="F4" i="36" l="1"/>
  <c r="G4" i="36"/>
  <c r="AU11" i="39" l="1"/>
  <c r="AT11" i="39"/>
  <c r="AS11" i="39"/>
  <c r="AU10" i="39"/>
  <c r="AT10" i="39"/>
  <c r="AS10" i="39"/>
  <c r="AU9" i="39"/>
  <c r="AT9" i="39"/>
  <c r="AS9" i="39"/>
  <c r="AU8" i="39"/>
  <c r="AT8" i="39"/>
  <c r="AS8" i="39"/>
  <c r="AU7" i="39"/>
  <c r="AT7" i="39"/>
  <c r="AS7" i="39"/>
  <c r="AU6" i="39"/>
  <c r="AT6" i="39"/>
  <c r="AS6" i="39"/>
  <c r="AU5" i="39"/>
  <c r="AT5" i="39"/>
  <c r="AS5" i="39"/>
  <c r="AU4" i="39"/>
  <c r="AT4" i="39"/>
  <c r="AS4" i="39"/>
  <c r="M9" i="1"/>
  <c r="M8" i="1"/>
  <c r="M7" i="1"/>
  <c r="M6" i="1"/>
  <c r="G16" i="33"/>
</calcChain>
</file>

<file path=xl/sharedStrings.xml><?xml version="1.0" encoding="utf-8"?>
<sst xmlns="http://schemas.openxmlformats.org/spreadsheetml/2006/main" count="6532" uniqueCount="112">
  <si>
    <t>Examples:</t>
  </si>
  <si>
    <t>Date</t>
  </si>
  <si>
    <t>Product</t>
  </si>
  <si>
    <t>Aspen</t>
  </si>
  <si>
    <t>Carlota</t>
  </si>
  <si>
    <t>Sunset</t>
  </si>
  <si>
    <t>Bellen</t>
  </si>
  <si>
    <t>Quad</t>
  </si>
  <si>
    <t>Yanaki</t>
  </si>
  <si>
    <t>Supplier</t>
  </si>
  <si>
    <t>Flying Eagle</t>
  </si>
  <si>
    <t>Channel Craft</t>
  </si>
  <si>
    <t>Gel Boom</t>
  </si>
  <si>
    <t>V Rang</t>
  </si>
  <si>
    <t>Colorado</t>
  </si>
  <si>
    <t>**[range_lookup] ==&gt;&gt; Exact Match = FALSE or 0</t>
  </si>
  <si>
    <t>Office 2016 Video #27</t>
  </si>
  <si>
    <t>Excel Basics 15: Excel Table Feature to Create Dynamic Ranges for VLOOKUP, PivotTables, &amp; more!</t>
  </si>
  <si>
    <t>Cost</t>
  </si>
  <si>
    <t>Retail Price</t>
  </si>
  <si>
    <t>Example 1: Excel Table feature for VLOOKUP &amp; Data Validation List</t>
  </si>
  <si>
    <t>Excel Table Feature</t>
  </si>
  <si>
    <t>Requirements:</t>
  </si>
  <si>
    <t>2) Click in one cell in Proper Data Set</t>
  </si>
  <si>
    <r>
      <t xml:space="preserve">3) Click on Table button in Table group in Interst Ribbon Tab (or just use keyboard: </t>
    </r>
    <r>
      <rPr>
        <b/>
        <sz val="11"/>
        <color theme="1"/>
        <rFont val="Calibri"/>
        <family val="2"/>
        <scheme val="minor"/>
      </rPr>
      <t>Ctrl + T</t>
    </r>
    <r>
      <rPr>
        <sz val="11"/>
        <color theme="1"/>
        <rFont val="Calibri"/>
        <family val="2"/>
        <scheme val="minor"/>
      </rPr>
      <t>)</t>
    </r>
  </si>
  <si>
    <t>4) Name Table in Table Tools Design Ribbon Tab, Properties group</t>
  </si>
  <si>
    <t>Advantages:</t>
  </si>
  <si>
    <r>
      <t xml:space="preserve">1) You must have a Proper Data Set </t>
    </r>
    <r>
      <rPr>
        <sz val="8"/>
        <color theme="1"/>
        <rFont val="Calibri"/>
        <family val="2"/>
        <scheme val="minor"/>
      </rPr>
      <t>(Field Names in 1st Row, 2) Records in Row, 3) Empty Cells All the way around)</t>
    </r>
  </si>
  <si>
    <t>2) In Formulas we can use Table Formula Nomenclature: Table Names and then Field Names in Square Brackets</t>
  </si>
  <si>
    <t>This means that our Formulas, Data Validation and PivotTables will see any new data we add to our Excel Table.</t>
  </si>
  <si>
    <t>1) When you add new records or columns, Formulas, Data Validation, Charts, PivotTables and other features that are pointing to table will update automatically</t>
  </si>
  <si>
    <t>Your Name Sales</t>
  </si>
  <si>
    <t>Units Sold</t>
  </si>
  <si>
    <t>New Records:</t>
  </si>
  <si>
    <t>Total</t>
  </si>
  <si>
    <t>Max</t>
  </si>
  <si>
    <t>Grand Total</t>
  </si>
  <si>
    <t>Sum of Units Sold</t>
  </si>
  <si>
    <t>Example 4: Excel Table feature for Other Formulas</t>
  </si>
  <si>
    <t>Example 3: Excel Table feature for PivotTable</t>
  </si>
  <si>
    <t>Example 2: Excel Table feature for Chart</t>
  </si>
  <si>
    <t>Price Each</t>
  </si>
  <si>
    <t>Total Revenue</t>
  </si>
  <si>
    <t>Units</t>
  </si>
  <si>
    <t>Discount</t>
  </si>
  <si>
    <t>The below Sales Table has already been converted to an Excel Table.</t>
  </si>
  <si>
    <t>Remember: that in order to do Approximate Match Lookup, the 1st Column of the Lookup Table must be sorted Small to Large (A to Z)</t>
  </si>
  <si>
    <t>Add a New Column to the Table to show the Quantity Discount. The steps for adding this column are as follows:</t>
  </si>
  <si>
    <t>1) The Quantity Discount is given based on the Number of Units Purchased.</t>
  </si>
  <si>
    <t>2) Set the Discount Table up so that you can use the VLOOKUP Function to do an Approximate Match Lookup.</t>
  </si>
  <si>
    <t>3) Convert the Discount Table to an Excel Table</t>
  </si>
  <si>
    <t>Add a second Column to the Excel Table that calculates Net Revenue: Total Revenue * (1-Discount). Hint" Do we need to round?</t>
  </si>
  <si>
    <t>Example 5: Add New Column to an Excel Table AND Create Approximate Match Lookup Table from a written statement.</t>
  </si>
  <si>
    <t>Discount on Total Revenue</t>
  </si>
  <si>
    <t>Net Revenue</t>
  </si>
  <si>
    <t>Amount of Discount = Total Revenue * Discount Decimal</t>
  </si>
  <si>
    <t>Net Revenue = Total Revenue - Amount of Discount</t>
  </si>
  <si>
    <t>Net Revenue = (1-Decimal Discount) * Total Revenue</t>
  </si>
  <si>
    <t>Variables:</t>
  </si>
  <si>
    <t xml:space="preserve">Formulas: </t>
  </si>
  <si>
    <t>Region</t>
  </si>
  <si>
    <t>SalesRep</t>
  </si>
  <si>
    <t>Sales</t>
  </si>
  <si>
    <t>West</t>
  </si>
  <si>
    <t>Jermaine  Sherman</t>
  </si>
  <si>
    <t>Elias  Ramsey</t>
  </si>
  <si>
    <t>Barry  Scott</t>
  </si>
  <si>
    <t>Northwest</t>
  </si>
  <si>
    <t>Alfred  Fuller</t>
  </si>
  <si>
    <t>Southwest</t>
  </si>
  <si>
    <t>Kim  Wolfe</t>
  </si>
  <si>
    <t>Myron  Daniel</t>
  </si>
  <si>
    <t>Lynn  Osborne</t>
  </si>
  <si>
    <t>Alexis  Gill</t>
  </si>
  <si>
    <t>Mildred  Leonard</t>
  </si>
  <si>
    <t>Velma  Bennett</t>
  </si>
  <si>
    <t>Fred  Mullins</t>
  </si>
  <si>
    <t>Brad  Dawson</t>
  </si>
  <si>
    <t>Natasha  Schneider</t>
  </si>
  <si>
    <t>Kathleen  Marshall</t>
  </si>
  <si>
    <t>Wilbert  Moreno</t>
  </si>
  <si>
    <t>Tony  Pierce</t>
  </si>
  <si>
    <t>Freda  Gregory</t>
  </si>
  <si>
    <t>Sean  Hunter</t>
  </si>
  <si>
    <t>Faith  Malone</t>
  </si>
  <si>
    <t>Sheila  Smith</t>
  </si>
  <si>
    <t>Cecil  Austin</t>
  </si>
  <si>
    <t>John  Lucas</t>
  </si>
  <si>
    <t>Aaron  Adkins</t>
  </si>
  <si>
    <t>Janet  Murphy</t>
  </si>
  <si>
    <t>Kurt  Hill</t>
  </si>
  <si>
    <t>Convert the below table to an Excel Table and name it "SalesRepSalesTable". The create a PivotTable as a new sheet that adds the sales for each Sales Rep.</t>
  </si>
  <si>
    <t>Sum of Sales</t>
  </si>
  <si>
    <t>Convert the Proper Data Set for classes and grades below to an Excel Table.</t>
  </si>
  <si>
    <t>Give the Excel Table a smart name.</t>
  </si>
  <si>
    <t>In cell D9, use the built-in AVERAGE function to calculate the GPA.</t>
  </si>
  <si>
    <t>Then make a column chart that shows the class name on the horizontal axis and column heights as grades.</t>
  </si>
  <si>
    <t>Finally, add a few records to see if the dynamic range aspect of the Excel Table feature is working.</t>
  </si>
  <si>
    <t>Class</t>
  </si>
  <si>
    <t>Grade</t>
  </si>
  <si>
    <t>GPA (Average)</t>
  </si>
  <si>
    <t>Busn 101</t>
  </si>
  <si>
    <t>&lt;&lt;== use AVERAGE function here.</t>
  </si>
  <si>
    <t>Busn 135</t>
  </si>
  <si>
    <t>Busn 125</t>
  </si>
  <si>
    <t>ENGL 101</t>
  </si>
  <si>
    <t>Busn 214</t>
  </si>
  <si>
    <t>Busn 218</t>
  </si>
  <si>
    <t>Example 5: Add New Column to an Excel Table AND</t>
  </si>
  <si>
    <t>Create Approximate Match Lookup Table from a written statement.</t>
  </si>
  <si>
    <t>Q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</si>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</sst>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&quot;$&quot;#,##0.00"/>
    <numFmt numFmtId="167" formatCode="m/d/yy;@"/>
    <numFmt numFmtId="168" formatCode="[$$-C09]#,##0.00"/>
    <numFmt numFmtId="169" formatCode="m/d/yyyy"/>
  </numFmts>
  <fonts count="21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b/>
      <sz val="23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0"/>
      <color indexed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2"/>
        <bgColor indexed="64"/>
      </patternFill>
    </fill>
  </fills>
  <borders count="2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0" fillId="2" borderId="9">
      <alignment wrapText="1"/>
    </xf>
    <xf numFmtId="0" fontId="11" fillId="0" borderId="0"/>
    <xf numFmtId="0" fontId="13" fillId="0" borderId="0" applyNumberFormat="0" applyFill="0" applyBorder="0" applyAlignment="0" applyProtection="0">
      <alignment vertical="top"/>
      <protection locked="0"/>
    </xf>
    <xf numFmtId="0" fontId="8" fillId="0" borderId="0"/>
    <xf numFmtId="165" fontId="11" fillId="0" borderId="0" applyFont="0" applyFill="0" applyBorder="0" applyAlignment="0" applyProtection="0"/>
    <xf numFmtId="0" fontId="20" fillId="7" borderId="9">
      <alignment wrapText="1"/>
    </xf>
  </cellStyleXfs>
  <cellXfs count="107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 applyBorder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Border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 applyBorder="1"/>
    <xf numFmtId="164" fontId="6" fillId="3" borderId="0" xfId="0" applyNumberFormat="1" applyFont="1" applyFill="1" applyBorder="1"/>
    <xf numFmtId="164" fontId="7" fillId="3" borderId="0" xfId="0" applyNumberFormat="1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9" fillId="0" borderId="0" xfId="0" applyFont="1"/>
    <xf numFmtId="0" fontId="11" fillId="0" borderId="9" xfId="2" applyBorder="1"/>
    <xf numFmtId="0" fontId="12" fillId="2" borderId="9" xfId="0" applyFont="1" applyFill="1" applyBorder="1"/>
    <xf numFmtId="0" fontId="0" fillId="4" borderId="9" xfId="0" applyFill="1" applyBorder="1"/>
    <xf numFmtId="166" fontId="0" fillId="0" borderId="0" xfId="0" applyNumberFormat="1"/>
    <xf numFmtId="0" fontId="10" fillId="2" borderId="9" xfId="1">
      <alignment wrapText="1"/>
    </xf>
    <xf numFmtId="0" fontId="11" fillId="0" borderId="9" xfId="2" applyFont="1" applyBorder="1"/>
    <xf numFmtId="0" fontId="11" fillId="0" borderId="0" xfId="2"/>
    <xf numFmtId="0" fontId="11" fillId="4" borderId="9" xfId="2" applyFill="1" applyBorder="1"/>
    <xf numFmtId="0" fontId="14" fillId="3" borderId="0" xfId="0" applyFont="1" applyFill="1" applyBorder="1"/>
    <xf numFmtId="0" fontId="15" fillId="3" borderId="1" xfId="0" applyFont="1" applyFill="1" applyBorder="1" applyAlignment="1">
      <alignment horizontal="centerContinuous"/>
    </xf>
    <xf numFmtId="0" fontId="11" fillId="0" borderId="9" xfId="2" applyNumberFormat="1" applyFont="1" applyBorder="1"/>
    <xf numFmtId="0" fontId="11" fillId="0" borderId="9" xfId="2" applyNumberFormat="1" applyBorder="1"/>
    <xf numFmtId="0" fontId="11" fillId="0" borderId="16" xfId="2" applyFont="1" applyBorder="1"/>
    <xf numFmtId="0" fontId="11" fillId="0" borderId="15" xfId="2" applyNumberFormat="1" applyBorder="1"/>
    <xf numFmtId="0" fontId="10" fillId="2" borderId="14" xfId="1" applyBorder="1">
      <alignment wrapText="1"/>
    </xf>
    <xf numFmtId="0" fontId="10" fillId="2" borderId="17" xfId="1" applyBorder="1">
      <alignment wrapText="1"/>
    </xf>
    <xf numFmtId="0" fontId="10" fillId="2" borderId="13" xfId="1" applyBorder="1">
      <alignment wrapText="1"/>
    </xf>
    <xf numFmtId="0" fontId="11" fillId="0" borderId="12" xfId="2" applyFont="1" applyBorder="1"/>
    <xf numFmtId="0" fontId="11" fillId="0" borderId="18" xfId="2" applyFont="1" applyBorder="1"/>
    <xf numFmtId="0" fontId="11" fillId="0" borderId="18" xfId="2" applyNumberFormat="1" applyFont="1" applyBorder="1"/>
    <xf numFmtId="0" fontId="11" fillId="0" borderId="11" xfId="2" applyNumberFormat="1" applyBorder="1"/>
    <xf numFmtId="0" fontId="17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horizontal="left" indent="4"/>
    </xf>
    <xf numFmtId="14" fontId="0" fillId="0" borderId="0" xfId="0" applyNumberFormat="1"/>
    <xf numFmtId="0" fontId="11" fillId="0" borderId="10" xfId="2" applyFont="1" applyFill="1" applyBorder="1"/>
    <xf numFmtId="0" fontId="11" fillId="0" borderId="10" xfId="2" applyNumberFormat="1" applyFont="1" applyFill="1" applyBorder="1"/>
    <xf numFmtId="0" fontId="11" fillId="0" borderId="10" xfId="2" applyNumberFormat="1" applyFill="1" applyBorder="1"/>
    <xf numFmtId="0" fontId="11" fillId="0" borderId="12" xfId="2" applyFont="1" applyFill="1" applyBorder="1"/>
    <xf numFmtId="0" fontId="11" fillId="0" borderId="18" xfId="2" applyFont="1" applyFill="1" applyBorder="1"/>
    <xf numFmtId="0" fontId="11" fillId="0" borderId="18" xfId="2" applyNumberFormat="1" applyFont="1" applyFill="1" applyBorder="1"/>
    <xf numFmtId="0" fontId="11" fillId="0" borderId="11" xfId="2" applyNumberFormat="1" applyFill="1" applyBorder="1"/>
    <xf numFmtId="0" fontId="0" fillId="0" borderId="0" xfId="0" pivotButton="1"/>
    <xf numFmtId="3" fontId="0" fillId="0" borderId="0" xfId="0" applyNumberFormat="1"/>
    <xf numFmtId="3" fontId="0" fillId="4" borderId="9" xfId="0" applyNumberFormat="1" applyFill="1" applyBorder="1"/>
    <xf numFmtId="0" fontId="0" fillId="3" borderId="0" xfId="0" applyFont="1" applyFill="1" applyBorder="1" applyAlignment="1">
      <alignment horizontal="centerContinuous"/>
    </xf>
    <xf numFmtId="0" fontId="18" fillId="3" borderId="0" xfId="0" applyFont="1" applyFill="1" applyBorder="1" applyAlignment="1">
      <alignment horizontal="centerContinuous"/>
    </xf>
    <xf numFmtId="164" fontId="0" fillId="0" borderId="0" xfId="0" applyNumberFormat="1"/>
    <xf numFmtId="0" fontId="0" fillId="5" borderId="11" xfId="0" applyFill="1" applyBorder="1"/>
    <xf numFmtId="0" fontId="0" fillId="5" borderId="19" xfId="0" applyFill="1" applyBorder="1"/>
    <xf numFmtId="0" fontId="0" fillId="5" borderId="12" xfId="0" applyFill="1" applyBorder="1"/>
    <xf numFmtId="0" fontId="0" fillId="5" borderId="20" xfId="0" applyFill="1" applyBorder="1"/>
    <xf numFmtId="0" fontId="0" fillId="5" borderId="0" xfId="0" applyFill="1" applyBorder="1"/>
    <xf numFmtId="0" fontId="0" fillId="5" borderId="21" xfId="0" applyFill="1" applyBorder="1"/>
    <xf numFmtId="0" fontId="0" fillId="5" borderId="13" xfId="0" applyFill="1" applyBorder="1"/>
    <xf numFmtId="0" fontId="0" fillId="5" borderId="22" xfId="0" applyFill="1" applyBorder="1"/>
    <xf numFmtId="0" fontId="0" fillId="5" borderId="14" xfId="0" applyFill="1" applyBorder="1"/>
    <xf numFmtId="0" fontId="0" fillId="5" borderId="20" xfId="0" applyFill="1" applyBorder="1" applyAlignment="1">
      <alignment horizontal="left" indent="2"/>
    </xf>
    <xf numFmtId="0" fontId="0" fillId="5" borderId="20" xfId="0" applyFill="1" applyBorder="1" applyAlignment="1">
      <alignment horizontal="left" indent="4"/>
    </xf>
    <xf numFmtId="0" fontId="0" fillId="5" borderId="20" xfId="0" applyFill="1" applyBorder="1" applyAlignment="1">
      <alignment horizontal="left" indent="6"/>
    </xf>
    <xf numFmtId="0" fontId="0" fillId="0" borderId="9" xfId="0" applyBorder="1" applyAlignment="1">
      <alignment horizontal="left" indent="2"/>
    </xf>
    <xf numFmtId="0" fontId="19" fillId="2" borderId="9" xfId="0" applyFont="1" applyFill="1" applyBorder="1"/>
    <xf numFmtId="0" fontId="19" fillId="6" borderId="9" xfId="0" applyFont="1" applyFill="1" applyBorder="1"/>
    <xf numFmtId="167" fontId="0" fillId="0" borderId="16" xfId="0" applyNumberFormat="1" applyBorder="1"/>
    <xf numFmtId="0" fontId="0" fillId="0" borderId="0" xfId="0"/>
    <xf numFmtId="0" fontId="10" fillId="2" borderId="9" xfId="0" applyFont="1" applyFill="1" applyBorder="1"/>
    <xf numFmtId="0" fontId="0" fillId="0" borderId="9" xfId="0" applyBorder="1"/>
    <xf numFmtId="167" fontId="0" fillId="0" borderId="9" xfId="0" applyNumberFormat="1" applyBorder="1"/>
    <xf numFmtId="164" fontId="0" fillId="0" borderId="9" xfId="0" applyNumberFormat="1" applyBorder="1"/>
    <xf numFmtId="0" fontId="0" fillId="0" borderId="0" xfId="0" pivotButton="1"/>
    <xf numFmtId="0" fontId="0" fillId="5" borderId="15" xfId="0" applyFill="1" applyBorder="1"/>
    <xf numFmtId="0" fontId="0" fillId="5" borderId="23" xfId="0" applyFill="1" applyBorder="1"/>
    <xf numFmtId="0" fontId="0" fillId="5" borderId="16" xfId="0" applyFill="1" applyBorder="1"/>
    <xf numFmtId="164" fontId="0" fillId="0" borderId="15" xfId="0" applyNumberFormat="1" applyBorder="1"/>
    <xf numFmtId="0" fontId="10" fillId="2" borderId="14" xfId="0" applyFont="1" applyFill="1" applyBorder="1"/>
    <xf numFmtId="0" fontId="10" fillId="2" borderId="17" xfId="0" applyFont="1" applyFill="1" applyBorder="1"/>
    <xf numFmtId="0" fontId="10" fillId="2" borderId="13" xfId="0" applyFont="1" applyFill="1" applyBorder="1"/>
    <xf numFmtId="167" fontId="0" fillId="0" borderId="12" xfId="0" applyNumberFormat="1" applyBorder="1"/>
    <xf numFmtId="0" fontId="0" fillId="0" borderId="18" xfId="0" applyBorder="1"/>
    <xf numFmtId="164" fontId="0" fillId="0" borderId="11" xfId="0" applyNumberFormat="1" applyBorder="1"/>
    <xf numFmtId="0" fontId="0" fillId="0" borderId="0" xfId="0"/>
    <xf numFmtId="0" fontId="10" fillId="2" borderId="9" xfId="0" applyFont="1" applyFill="1" applyBorder="1"/>
    <xf numFmtId="0" fontId="0" fillId="4" borderId="9" xfId="0" applyFill="1" applyBorder="1"/>
    <xf numFmtId="0" fontId="9" fillId="0" borderId="0" xfId="0" applyFont="1"/>
    <xf numFmtId="0" fontId="0" fillId="0" borderId="0" xfId="0"/>
    <xf numFmtId="0" fontId="10" fillId="2" borderId="9" xfId="0" applyFont="1" applyFill="1" applyBorder="1"/>
    <xf numFmtId="0" fontId="0" fillId="0" borderId="9" xfId="0" applyBorder="1"/>
    <xf numFmtId="0" fontId="0" fillId="4" borderId="9" xfId="0" applyFill="1" applyBorder="1"/>
    <xf numFmtId="0" fontId="0" fillId="0" borderId="0" xfId="0" applyNumberFormat="1"/>
    <xf numFmtId="14" fontId="0" fillId="0" borderId="0" xfId="0" applyNumberFormat="1"/>
    <xf numFmtId="0" fontId="9" fillId="0" borderId="0" xfId="0" applyFont="1"/>
    <xf numFmtId="2" fontId="0" fillId="0" borderId="0" xfId="0" applyNumberFormat="1"/>
    <xf numFmtId="168" fontId="0" fillId="0" borderId="0" xfId="0" applyNumberFormat="1"/>
    <xf numFmtId="0" fontId="9" fillId="0" borderId="0" xfId="0" applyFont="1" applyAlignment="1">
      <alignment horizontal="center" wrapText="1"/>
    </xf>
    <xf numFmtId="169" fontId="0" fillId="0" borderId="0" xfId="0" applyNumberFormat="1"/>
  </cellXfs>
  <cellStyles count="7">
    <cellStyle name="blue" xfId="1" xr:uid="{1C541EEE-57C5-459D-8108-3A7E3B7C0CFF}"/>
    <cellStyle name="blue 2" xfId="6" xr:uid="{00000000-0005-0000-0000-000000000000}"/>
    <cellStyle name="Currency 2" xfId="5" xr:uid="{5A95DBCC-2856-4DDA-9279-6612B06EF957}"/>
    <cellStyle name="Hyperlink 2" xfId="3" xr:uid="{5D6EFADD-4361-43A3-96C5-A8C6D19860C8}"/>
    <cellStyle name="Normal" xfId="0" builtinId="0"/>
    <cellStyle name="Normal 2" xfId="2" xr:uid="{36687143-B894-4A4C-97AE-02E7840D40DA}"/>
    <cellStyle name="Normal 3 2" xfId="4" xr:uid="{4925874F-B8DF-4C57-8DD6-4124FFB63EBE}"/>
  </cellStyles>
  <dxfs count="58"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8" formatCode="[$$-C09]#,##0.00"/>
    </dxf>
    <dxf>
      <numFmt numFmtId="168" formatCode="[$$-C09]#,##0.00"/>
    </dxf>
    <dxf>
      <numFmt numFmtId="168" formatCode="[$$-C09]#,##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_);[Red]\(&quot;$&quot;#,##0.00\)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m/d/yy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&quot;$&quot;#,##0.00_);[Red]\(&quot;$&quot;#,##0.00\)"/>
    </dxf>
    <dxf>
      <numFmt numFmtId="164" formatCode="&quot;$&quot;#,##0.00_);[Red]\(&quot;$&quot;#,##0.00\)"/>
    </dxf>
    <dxf>
      <numFmt numFmtId="16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&quot;$&quot;#,##0.00_);[Red]\(&quot;$&quot;#,##0.00\)"/>
    </dxf>
    <dxf>
      <numFmt numFmtId="164" formatCode="&quot;$&quot;#,##0.00_);[Red]\(&quot;$&quot;#,##0.00\)"/>
    </dxf>
    <dxf>
      <numFmt numFmtId="16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6" formatCode="&quot;$&quot;#,##0.00"/>
    </dxf>
    <dxf>
      <numFmt numFmtId="16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8" formatCode="[$$-C09]#,##0.00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00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Chart!$B$4</c:f>
              <c:strCache>
                <c:ptCount val="1"/>
                <c:pt idx="0">
                  <c:v>Your Name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Chart!$A$5:$A$7</c:f>
              <c:numCache>
                <c:formatCode>m/d/yyyy</c:formatCode>
                <c:ptCount val="3"/>
                <c:pt idx="0">
                  <c:v>43045</c:v>
                </c:pt>
                <c:pt idx="1">
                  <c:v>43046</c:v>
                </c:pt>
                <c:pt idx="2">
                  <c:v>43047</c:v>
                </c:pt>
              </c:numCache>
            </c:numRef>
          </c:cat>
          <c:val>
            <c:numRef>
              <c:f>Chart!$B$5:$B$7</c:f>
              <c:numCache>
                <c:formatCode>[$$-C09]#,##0.00</c:formatCode>
                <c:ptCount val="3"/>
                <c:pt idx="0">
                  <c:v>5789.24</c:v>
                </c:pt>
                <c:pt idx="1">
                  <c:v>6125.75</c:v>
                </c:pt>
                <c:pt idx="2">
                  <c:v>4215.1400000000003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6D-4AAA-B598-17543619D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7362959"/>
        <c:axId val="647344655"/>
      </c:barChart>
      <c:dateAx>
        <c:axId val="6473629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44655"/>
        <c:crosses val="autoZero"/>
        <c:auto val="1"/>
        <c:lblOffset val="100"/>
        <c:baseTimeUnit val="days"/>
      </c:dateAx>
      <c:valAx>
        <c:axId val="64734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C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629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75000"/>
          <a:lumOff val="2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'Chart (an)'!$B$4</c:f>
              <c:strCache>
                <c:ptCount val="1"/>
                <c:pt idx="0">
                  <c:v>Your Name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'Chart (an)'!$A$5:$A$8</c:f>
              <c:numCache>
                <c:formatCode>m/d/yyyy</c:formatCode>
                <c:ptCount val="4"/>
                <c:pt idx="0">
                  <c:v>43045</c:v>
                </c:pt>
                <c:pt idx="1">
                  <c:v>43046</c:v>
                </c:pt>
                <c:pt idx="2">
                  <c:v>43047</c:v>
                </c:pt>
                <c:pt idx="3">
                  <c:v>43048</c:v>
                </c:pt>
              </c:numCache>
            </c:numRef>
          </c:cat>
          <c:val>
            <c:numRef>
              <c:f>'Chart (an)'!$B$5:$B$8</c:f>
              <c:numCache>
                <c:formatCode>"$"#,##0.00</c:formatCode>
                <c:ptCount val="4"/>
                <c:pt idx="0">
                  <c:v>5789.24</c:v>
                </c:pt>
                <c:pt idx="1">
                  <c:v>6125.75</c:v>
                </c:pt>
                <c:pt idx="2">
                  <c:v>4215.1400000000003</c:v>
                </c:pt>
                <c:pt idx="3">
                  <c:v>9125.65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FE-4E56-BEB1-C2CF2128F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3194144"/>
        <c:axId val="433411680"/>
      </c:barChart>
      <c:dateAx>
        <c:axId val="433194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411680"/>
        <c:crosses val="autoZero"/>
        <c:auto val="1"/>
        <c:lblOffset val="100"/>
        <c:baseTimeUnit val="days"/>
      </c:dateAx>
      <c:valAx>
        <c:axId val="43341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9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My</a:t>
            </a:r>
            <a:r>
              <a:rPr lang="en-IN" baseline="0"/>
              <a:t> Grades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799-43D5-A611-DA92B75DEC5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'HW(2)'!$A$9:$A$15</c:f>
              <c:strCache>
                <c:ptCount val="7"/>
                <c:pt idx="0">
                  <c:v>Busn 135</c:v>
                </c:pt>
                <c:pt idx="1">
                  <c:v>Busn 101</c:v>
                </c:pt>
                <c:pt idx="2">
                  <c:v>ENGL 101</c:v>
                </c:pt>
                <c:pt idx="3">
                  <c:v>Busn 125</c:v>
                </c:pt>
                <c:pt idx="4">
                  <c:v>Busn 214</c:v>
                </c:pt>
                <c:pt idx="5">
                  <c:v>Busn 125</c:v>
                </c:pt>
                <c:pt idx="6">
                  <c:v>Busn 218</c:v>
                </c:pt>
              </c:strCache>
            </c:strRef>
          </c:cat>
          <c:val>
            <c:numRef>
              <c:f>'HW(2)'!$B$9:$B$15</c:f>
              <c:numCache>
                <c:formatCode>0.00</c:formatCode>
                <c:ptCount val="7"/>
                <c:pt idx="0">
                  <c:v>2.7</c:v>
                </c:pt>
                <c:pt idx="1">
                  <c:v>2.8</c:v>
                </c:pt>
                <c:pt idx="2">
                  <c:v>3.1</c:v>
                </c:pt>
                <c:pt idx="3">
                  <c:v>3.7</c:v>
                </c:pt>
                <c:pt idx="4">
                  <c:v>3.8</c:v>
                </c:pt>
                <c:pt idx="5">
                  <c:v>4</c:v>
                </c:pt>
                <c:pt idx="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99-43D5-A611-DA92B75DE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3162031"/>
        <c:axId val="853165775"/>
      </c:barChart>
      <c:catAx>
        <c:axId val="8531620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165775"/>
        <c:crosses val="autoZero"/>
        <c:auto val="1"/>
        <c:lblAlgn val="ctr"/>
        <c:lblOffset val="100"/>
        <c:noMultiLvlLbl val="0"/>
      </c:catAx>
      <c:valAx>
        <c:axId val="853165775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162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My Grades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'HW(2an)'!$B$8</c:f>
              <c:strCache>
                <c:ptCount val="1"/>
                <c:pt idx="0">
                  <c:v>Grade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596-4641-844C-4364C1DFA6C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596-4641-844C-4364C1DFA6C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596-4641-844C-4364C1DFA6C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596-4641-844C-4364C1DFA6C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596-4641-844C-4364C1DFA6C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596-4641-844C-4364C1DFA6C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596-4641-844C-4364C1DFA6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'HW(2an)'!$A$9:$A$15</c:f>
              <c:strCache>
                <c:ptCount val="7"/>
                <c:pt idx="0">
                  <c:v>Busn 135</c:v>
                </c:pt>
                <c:pt idx="1">
                  <c:v>Busn 101</c:v>
                </c:pt>
                <c:pt idx="2">
                  <c:v>ENGL 101</c:v>
                </c:pt>
                <c:pt idx="3">
                  <c:v>Busn 125</c:v>
                </c:pt>
                <c:pt idx="4">
                  <c:v>Busn 214</c:v>
                </c:pt>
                <c:pt idx="5">
                  <c:v>Busn 125</c:v>
                </c:pt>
                <c:pt idx="6">
                  <c:v>Busn 218</c:v>
                </c:pt>
              </c:strCache>
            </c:strRef>
          </c:cat>
          <c:val>
            <c:numRef>
              <c:f>'HW(2an)'!$B$9:$B$15</c:f>
              <c:numCache>
                <c:formatCode>0.00</c:formatCode>
                <c:ptCount val="7"/>
                <c:pt idx="0">
                  <c:v>2.7</c:v>
                </c:pt>
                <c:pt idx="1">
                  <c:v>2.8</c:v>
                </c:pt>
                <c:pt idx="2">
                  <c:v>3.1</c:v>
                </c:pt>
                <c:pt idx="3">
                  <c:v>3.7</c:v>
                </c:pt>
                <c:pt idx="4">
                  <c:v>3.8</c:v>
                </c:pt>
                <c:pt idx="5">
                  <c:v>4</c:v>
                </c:pt>
                <c:pt idx="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F-41DC-B60B-3715DBFC321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59240832"/>
        <c:axId val="422884704"/>
      </c:barChart>
      <c:catAx>
        <c:axId val="959240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84704"/>
        <c:crosses val="autoZero"/>
        <c:auto val="1"/>
        <c:lblAlgn val="ctr"/>
        <c:lblOffset val="100"/>
        <c:noMultiLvlLbl val="0"/>
      </c:catAx>
      <c:valAx>
        <c:axId val="42288470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95924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280147</xdr:colOff>
      <xdr:row>18</xdr:row>
      <xdr:rowOff>51212</xdr:rowOff>
    </xdr:from>
    <xdr:to>
      <xdr:col>18</xdr:col>
      <xdr:colOff>277405</xdr:colOff>
      <xdr:row>23</xdr:row>
      <xdr:rowOff>234525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5176" y="4791300"/>
          <a:ext cx="1207494" cy="1640078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201705</xdr:colOff>
      <xdr:row>3</xdr:row>
      <xdr:rowOff>246528</xdr:rowOff>
    </xdr:from>
    <xdr:to>
      <xdr:col>11</xdr:col>
      <xdr:colOff>359317</xdr:colOff>
      <xdr:row>10</xdr:row>
      <xdr:rowOff>78441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41B42C-8D1D-450A-9DF2-4CC5D30BA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823" y="1131793"/>
          <a:ext cx="7631935" cy="1647266"/>
        </a:xfrm>
        <a:prstGeom prst="rect">
          <a:avLst/>
        </a:prstGeom>
      </xdr:spPr>
    </xdr:pic>
    <xdr:clientData/>
  </xdr:twoCellAnchor>
  <xdr:twoCellAnchor editAs="oneCell">
    <xdr:from>
      <xdr:col>1</xdr:col>
      <xdr:colOff>268941</xdr:colOff>
      <xdr:row>12</xdr:row>
      <xdr:rowOff>56030</xdr:rowOff>
    </xdr:from>
    <xdr:to>
      <xdr:col>14</xdr:col>
      <xdr:colOff>228040</xdr:colOff>
      <xdr:row>22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90C32DE-FE64-41BF-A7BD-EE397E482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059" y="3339354"/>
          <a:ext cx="9248775" cy="3009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518163</xdr:colOff>
      <xdr:row>2</xdr:row>
      <xdr:rowOff>111940</xdr:rowOff>
    </xdr:from>
    <xdr:to>
      <xdr:col>14</xdr:col>
      <xdr:colOff>259080</xdr:colOff>
      <xdr:row>20</xdr:row>
      <xdr:rowOff>22860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2C7890A-58B7-4EF4-869A-F4500BDB73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98533</xdr:colOff>
      <xdr:row>3</xdr:row>
      <xdr:rowOff>24305</xdr:rowOff>
    </xdr:from>
    <xdr:to>
      <xdr:col>6</xdr:col>
      <xdr:colOff>525517</xdr:colOff>
      <xdr:row>13</xdr:row>
      <xdr:rowOff>131378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4E5233-E9F5-4F02-A762-2AEFC1AC5E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594360</xdr:colOff>
      <xdr:row>4</xdr:row>
      <xdr:rowOff>15240</xdr:rowOff>
    </xdr:from>
    <xdr:to>
      <xdr:col>15</xdr:col>
      <xdr:colOff>289560</xdr:colOff>
      <xdr:row>19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5B2BFB-E4F1-4F61-B4F5-6EFF934CF9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657225</xdr:colOff>
      <xdr:row>10</xdr:row>
      <xdr:rowOff>152400</xdr:rowOff>
    </xdr:from>
    <xdr:to>
      <xdr:col>9</xdr:col>
      <xdr:colOff>85725</xdr:colOff>
      <xdr:row>25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2287C3-DA7E-45DF-B452-C567FF28EE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47.701843055554" createdVersion="6" refreshedVersion="6" minRefreshableVersion="3" recordCount="26" xr:uid="{F57B4C92-9AF8-4C66-8BF5-661648BC8268}">
  <cacheSource type="worksheet">
    <worksheetSource name="UnitSalesTableAnswer"/>
  </cacheSource>
  <cacheFields count="3">
    <cacheField name="Date" numFmtId="14">
      <sharedItems containsSemiMixedTypes="0" containsNonDate="0" containsDate="1" containsString="0" minDate="2017-11-01T00:00:00" maxDate="2017-11-09T00:00:00"/>
    </cacheField>
    <cacheField name="Product" numFmtId="0">
      <sharedItems count="4">
        <s v="Quad"/>
        <s v="Yanaki"/>
        <s v="V Rang"/>
        <s v="Sunset"/>
      </sharedItems>
    </cacheField>
    <cacheField name="Units Sold" numFmtId="0">
      <sharedItems containsSemiMixedTypes="0" containsString="0" containsNumber="1" containsInteger="1" minValue="8" maxValue="1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48.616766666666" createdVersion="6" refreshedVersion="6" minRefreshableVersion="3" recordCount="582" xr:uid="{62238F8F-46F0-4EEB-ADB5-C78FB7A0B7D5}">
  <cacheSource type="worksheet">
    <worksheetSource name="SalesRepSalesTableAnswer"/>
  </cacheSource>
  <cacheFields count="4">
    <cacheField name="Date" numFmtId="167">
      <sharedItems containsSemiMixedTypes="0" containsNonDate="0" containsDate="1" containsString="0" minDate="2013-10-20T00:00:00" maxDate="2013-10-27T00:00:00"/>
    </cacheField>
    <cacheField name="Region" numFmtId="0">
      <sharedItems/>
    </cacheField>
    <cacheField name="SalesRep" numFmtId="0">
      <sharedItems count="25">
        <s v="Jermaine  Sherman"/>
        <s v="Elias  Ramsey"/>
        <s v="Barry  Scott"/>
        <s v="Alfred  Fuller"/>
        <s v="Kim  Wolfe"/>
        <s v="Myron  Daniel"/>
        <s v="Lynn  Osborne"/>
        <s v="Alexis  Gill"/>
        <s v="Mildred  Leonard"/>
        <s v="Velma  Bennett"/>
        <s v="Fred  Mullins"/>
        <s v="Brad  Dawson"/>
        <s v="Natasha  Schneider"/>
        <s v="Kathleen  Marshall"/>
        <s v="Wilbert  Moreno"/>
        <s v="Tony  Pierce"/>
        <s v="Freda  Gregory"/>
        <s v="Sean  Hunter"/>
        <s v="Faith  Malone"/>
        <s v="Sheila  Smith"/>
        <s v="Cecil  Austin"/>
        <s v="John  Lucas"/>
        <s v="Aaron  Adkins"/>
        <s v="Janet  Murphy"/>
        <s v="Kurt  Hill"/>
      </sharedItems>
    </cacheField>
    <cacheField name="Sales" numFmtId="164">
      <sharedItems containsSemiMixedTypes="0" containsString="0" containsNumber="1" containsInteger="1" minValue="13" maxValue="6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507.666801967593" createdVersion="7" refreshedVersion="7" minRefreshableVersion="3" recordCount="18" xr:uid="{28784C35-E56E-478D-A982-57010406ACCA}">
  <cacheSource type="worksheet">
    <worksheetSource name="unitssalestable"/>
  </cacheSource>
  <cacheFields count="3">
    <cacheField name="Date" numFmtId="14">
      <sharedItems containsSemiMixedTypes="0" containsNonDate="0" containsDate="1" containsString="0" minDate="2017-11-01T00:00:00" maxDate="2017-11-09T00:00:00"/>
    </cacheField>
    <cacheField name="Product" numFmtId="0">
      <sharedItems count="4">
        <s v="Quad"/>
        <s v="Yanaki"/>
        <s v="V Rang"/>
        <s v="Sunset"/>
      </sharedItems>
    </cacheField>
    <cacheField name="Units Sold" numFmtId="0">
      <sharedItems containsSemiMixedTypes="0" containsString="0" containsNumber="1" containsInteger="1" minValue="8" maxValue="1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507.849688310183" createdVersion="7" refreshedVersion="7" minRefreshableVersion="3" recordCount="582" xr:uid="{B91646BA-F781-426D-96C5-77225D32AFBD}">
  <cacheSource type="worksheet">
    <worksheetSource ref="A3:D585" sheet="HW(1)"/>
  </cacheSource>
  <cacheFields count="4">
    <cacheField name="Date" numFmtId="167">
      <sharedItems containsSemiMixedTypes="0" containsNonDate="0" containsDate="1" containsString="0" minDate="2013-10-20T00:00:00" maxDate="2013-10-27T00:00:00"/>
    </cacheField>
    <cacheField name="Region" numFmtId="0">
      <sharedItems/>
    </cacheField>
    <cacheField name="SalesRep" numFmtId="0">
      <sharedItems count="25">
        <s v="Jermaine  Sherman"/>
        <s v="Elias  Ramsey"/>
        <s v="Barry  Scott"/>
        <s v="Alfred  Fuller"/>
        <s v="Kim  Wolfe"/>
        <s v="Myron  Daniel"/>
        <s v="Lynn  Osborne"/>
        <s v="Alexis  Gill"/>
        <s v="Mildred  Leonard"/>
        <s v="Velma  Bennett"/>
        <s v="Fred  Mullins"/>
        <s v="Brad  Dawson"/>
        <s v="Natasha  Schneider"/>
        <s v="Kathleen  Marshall"/>
        <s v="Wilbert  Moreno"/>
        <s v="Tony  Pierce"/>
        <s v="Freda  Gregory"/>
        <s v="Sean  Hunter"/>
        <s v="Faith  Malone"/>
        <s v="Sheila  Smith"/>
        <s v="Cecil  Austin"/>
        <s v="John  Lucas"/>
        <s v="Aaron  Adkins"/>
        <s v="Janet  Murphy"/>
        <s v="Kurt  Hill"/>
      </sharedItems>
    </cacheField>
    <cacheField name="Sales" numFmtId="164">
      <sharedItems containsSemiMixedTypes="0" containsString="0" containsNumber="1" containsInteger="1" minValue="13" maxValue="686" count="386">
        <n v="519"/>
        <n v="651"/>
        <n v="618"/>
        <n v="335"/>
        <n v="640"/>
        <n v="586"/>
        <n v="301"/>
        <n v="359"/>
        <n v="658"/>
        <n v="213"/>
        <n v="500"/>
        <n v="604"/>
        <n v="340"/>
        <n v="117"/>
        <n v="234"/>
        <n v="225"/>
        <n v="302"/>
        <n v="223"/>
        <n v="401"/>
        <n v="405"/>
        <n v="493"/>
        <n v="214"/>
        <n v="366"/>
        <n v="191"/>
        <n v="628"/>
        <n v="144"/>
        <n v="571"/>
        <n v="136"/>
        <n v="201"/>
        <n v="339"/>
        <n v="203"/>
        <n v="526"/>
        <n v="86"/>
        <n v="388"/>
        <n v="119"/>
        <n v="296"/>
        <n v="295"/>
        <n v="120"/>
        <n v="647"/>
        <n v="159"/>
        <n v="217"/>
        <n v="362"/>
        <n v="599"/>
        <n v="546"/>
        <n v="254"/>
        <n v="101"/>
        <n v="150"/>
        <n v="204"/>
        <n v="106"/>
        <n v="333"/>
        <n v="67"/>
        <n v="51"/>
        <n v="279"/>
        <n v="123"/>
        <n v="501"/>
        <n v="235"/>
        <n v="35"/>
        <n v="319"/>
        <n v="551"/>
        <n v="188"/>
        <n v="129"/>
        <n v="485"/>
        <n v="29"/>
        <n v="135"/>
        <n v="584"/>
        <n v="684"/>
        <n v="528"/>
        <n v="675"/>
        <n v="368"/>
        <n v="524"/>
        <n v="329"/>
        <n v="146"/>
        <n v="350"/>
        <n v="387"/>
        <n v="244"/>
        <n v="449"/>
        <n v="477"/>
        <n v="457"/>
        <n v="105"/>
        <n v="458"/>
        <n v="110"/>
        <n v="32"/>
        <n v="681"/>
        <n v="320"/>
        <n v="601"/>
        <n v="172"/>
        <n v="197"/>
        <n v="346"/>
        <n v="318"/>
        <n v="245"/>
        <n v="498"/>
        <n v="272"/>
        <n v="424"/>
        <n v="122"/>
        <n v="39"/>
        <n v="400"/>
        <n v="416"/>
        <n v="397"/>
        <n v="671"/>
        <n v="148"/>
        <n v="115"/>
        <n v="639"/>
        <n v="659"/>
        <n v="36"/>
        <n v="102"/>
        <n v="413"/>
        <n v="166"/>
        <n v="97"/>
        <n v="127"/>
        <n v="60"/>
        <n v="496"/>
        <n v="489"/>
        <n v="266"/>
        <n v="364"/>
        <n v="579"/>
        <n v="587"/>
        <n v="543"/>
        <n v="644"/>
        <n v="564"/>
        <n v="149"/>
        <n v="195"/>
        <n v="660"/>
        <n v="523"/>
        <n v="649"/>
        <n v="409"/>
        <n v="556"/>
        <n v="565"/>
        <n v="357"/>
        <n v="219"/>
        <n v="327"/>
        <n v="666"/>
        <n v="290"/>
        <n v="64"/>
        <n v="373"/>
        <n v="249"/>
        <n v="237"/>
        <n v="138"/>
        <n v="324"/>
        <n v="633"/>
        <n v="240"/>
        <n v="615"/>
        <n v="180"/>
        <n v="415"/>
        <n v="305"/>
        <n v="657"/>
        <n v="474"/>
        <n v="611"/>
        <n v="682"/>
        <n v="398"/>
        <n v="74"/>
        <n v="243"/>
        <n v="151"/>
        <n v="174"/>
        <n v="304"/>
        <n v="315"/>
        <n v="534"/>
        <n v="598"/>
        <n v="14"/>
        <n v="26"/>
        <n v="108"/>
        <n v="114"/>
        <n v="258"/>
        <n v="439"/>
        <n v="583"/>
        <n v="664"/>
        <n v="164"/>
        <n v="241"/>
        <n v="257"/>
        <n v="264"/>
        <n v="471"/>
        <n v="40"/>
        <n v="594"/>
        <n v="605"/>
        <n v="250"/>
        <n v="481"/>
        <n v="529"/>
        <n v="56"/>
        <n v="82"/>
        <n v="575"/>
        <n v="665"/>
        <n v="490"/>
        <n v="630"/>
        <n v="352"/>
        <n v="269"/>
        <n v="200"/>
        <n v="456"/>
        <n v="510"/>
        <n v="63"/>
        <n v="386"/>
        <n v="73"/>
        <n v="389"/>
        <n v="321"/>
        <n v="175"/>
        <n v="438"/>
        <n v="622"/>
        <n v="612"/>
        <n v="404"/>
        <n v="632"/>
        <n v="20"/>
        <n v="656"/>
        <n v="391"/>
        <n v="686"/>
        <n v="466"/>
        <n v="661"/>
        <n v="654"/>
        <n v="202"/>
        <n v="181"/>
        <n v="370"/>
        <n v="608"/>
        <n v="349"/>
        <n v="77"/>
        <n v="22"/>
        <n v="306"/>
        <n v="95"/>
        <n v="270"/>
        <n v="648"/>
        <n v="169"/>
        <n v="488"/>
        <n v="353"/>
        <n v="613"/>
        <n v="343"/>
        <n v="294"/>
        <n v="147"/>
        <n v="662"/>
        <n v="482"/>
        <n v="503"/>
        <n v="190"/>
        <n v="576"/>
        <n v="43"/>
        <n v="460"/>
        <n v="347"/>
        <n v="303"/>
        <n v="550"/>
        <n v="222"/>
        <n v="28"/>
        <n v="552"/>
        <n v="308"/>
        <n v="561"/>
        <n v="259"/>
        <n v="609"/>
        <n v="18"/>
        <n v="98"/>
        <n v="274"/>
        <n v="65"/>
        <n v="638"/>
        <n v="89"/>
        <n v="154"/>
        <n v="209"/>
        <n v="338"/>
        <n v="428"/>
        <n v="24"/>
        <n v="645"/>
        <n v="37"/>
        <n v="367"/>
        <n v="178"/>
        <n v="227"/>
        <n v="215"/>
        <n v="506"/>
        <n v="312"/>
        <n v="158"/>
        <n v="569"/>
        <n v="545"/>
        <n v="111"/>
        <n v="229"/>
        <n v="19"/>
        <n v="72"/>
        <n v="103"/>
        <n v="33"/>
        <n v="553"/>
        <n v="125"/>
        <n v="316"/>
        <n v="392"/>
        <n v="299"/>
        <n v="83"/>
        <n v="80"/>
        <n v="342"/>
        <n v="540"/>
        <n v="411"/>
        <n v="606"/>
        <n v="268"/>
        <n v="208"/>
        <n v="559"/>
        <n v="530"/>
        <n v="663"/>
        <n v="31"/>
        <n v="280"/>
        <n v="375"/>
        <n v="323"/>
        <n v="650"/>
        <n v="505"/>
        <n v="483"/>
        <n v="444"/>
        <n v="642"/>
        <n v="100"/>
        <n v="379"/>
        <n v="332"/>
        <n v="13"/>
        <n v="423"/>
        <n v="220"/>
        <n v="47"/>
        <n v="590"/>
        <n v="538"/>
        <n v="562"/>
        <n v="443"/>
        <n v="455"/>
        <n v="518"/>
        <n v="621"/>
        <n v="131"/>
        <n v="130"/>
        <n v="307"/>
        <n v="472"/>
        <n v="419"/>
        <n v="508"/>
        <n v="170"/>
        <n v="198"/>
        <n v="674"/>
        <n v="399"/>
        <n v="107"/>
        <n v="199"/>
        <n v="23"/>
        <n v="297"/>
        <n v="273"/>
        <n v="281"/>
        <n v="156"/>
        <n v="459"/>
        <n v="634"/>
        <n v="450"/>
        <n v="93"/>
        <n v="337"/>
        <n v="374"/>
        <n v="160"/>
        <n v="502"/>
        <n v="221"/>
        <n v="516"/>
        <n v="678"/>
        <n v="637"/>
        <n v="525"/>
        <n v="376"/>
        <n v="226"/>
        <n v="38"/>
        <n v="283"/>
        <n v="480"/>
        <n v="152"/>
        <n v="652"/>
        <n v="99"/>
        <n v="432"/>
        <n v="261"/>
        <n v="345"/>
        <n v="78"/>
        <n v="81"/>
        <n v="563"/>
        <n v="344"/>
        <n v="378"/>
        <n v="468"/>
        <n v="624"/>
        <n v="21"/>
        <n v="173"/>
        <n v="276"/>
        <n v="616"/>
        <n v="140"/>
        <n v="461"/>
        <n v="555"/>
        <n v="212"/>
        <n v="629"/>
        <n v="247"/>
        <n v="672"/>
        <n v="484"/>
        <n v="462"/>
        <n v="470"/>
        <n v="161"/>
        <n v="570"/>
        <n v="293"/>
        <n v="547"/>
        <n v="185"/>
        <n v="239"/>
        <n v="210"/>
        <n v="573"/>
        <n v="478"/>
        <n v="514"/>
        <n v="667"/>
        <n v="314"/>
        <n v="228"/>
        <n v="193"/>
        <n v="509"/>
        <n v="532"/>
        <n v="14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d v="2017-11-02T00:00:00"/>
    <x v="0"/>
    <n v="181"/>
  </r>
  <r>
    <d v="2017-11-04T00:00:00"/>
    <x v="1"/>
    <n v="155"/>
  </r>
  <r>
    <d v="2017-11-05T00:00:00"/>
    <x v="1"/>
    <n v="56"/>
  </r>
  <r>
    <d v="2017-11-05T00:00:00"/>
    <x v="1"/>
    <n v="127"/>
  </r>
  <r>
    <d v="2017-11-07T00:00:00"/>
    <x v="2"/>
    <n v="159"/>
  </r>
  <r>
    <d v="2017-11-07T00:00:00"/>
    <x v="0"/>
    <n v="100"/>
  </r>
  <r>
    <d v="2017-11-03T00:00:00"/>
    <x v="3"/>
    <n v="151"/>
  </r>
  <r>
    <d v="2017-11-02T00:00:00"/>
    <x v="1"/>
    <n v="163"/>
  </r>
  <r>
    <d v="2017-11-06T00:00:00"/>
    <x v="1"/>
    <n v="84"/>
  </r>
  <r>
    <d v="2017-11-06T00:00:00"/>
    <x v="1"/>
    <n v="191"/>
  </r>
  <r>
    <d v="2017-11-01T00:00:00"/>
    <x v="2"/>
    <n v="78"/>
  </r>
  <r>
    <d v="2017-11-04T00:00:00"/>
    <x v="0"/>
    <n v="8"/>
  </r>
  <r>
    <d v="2017-11-07T00:00:00"/>
    <x v="2"/>
    <n v="15"/>
  </r>
  <r>
    <d v="2017-11-01T00:00:00"/>
    <x v="2"/>
    <n v="157"/>
  </r>
  <r>
    <d v="2017-11-02T00:00:00"/>
    <x v="1"/>
    <n v="100"/>
  </r>
  <r>
    <d v="2017-11-01T00:00:00"/>
    <x v="1"/>
    <n v="9"/>
  </r>
  <r>
    <d v="2017-11-04T00:00:00"/>
    <x v="0"/>
    <n v="180"/>
  </r>
  <r>
    <d v="2017-11-08T00:00:00"/>
    <x v="0"/>
    <n v="30"/>
  </r>
  <r>
    <d v="2017-11-08T00:00:00"/>
    <x v="2"/>
    <n v="88"/>
  </r>
  <r>
    <d v="2017-11-03T00:00:00"/>
    <x v="0"/>
    <n v="152"/>
  </r>
  <r>
    <d v="2017-11-07T00:00:00"/>
    <x v="0"/>
    <n v="90"/>
  </r>
  <r>
    <d v="2017-11-03T00:00:00"/>
    <x v="3"/>
    <n v="112"/>
  </r>
  <r>
    <d v="2017-11-06T00:00:00"/>
    <x v="3"/>
    <n v="24"/>
  </r>
  <r>
    <d v="2017-11-06T00:00:00"/>
    <x v="1"/>
    <n v="44"/>
  </r>
  <r>
    <d v="2017-11-07T00:00:00"/>
    <x v="1"/>
    <n v="154"/>
  </r>
  <r>
    <d v="2017-11-05T00:00:00"/>
    <x v="2"/>
    <n v="9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2">
  <r>
    <d v="2013-10-21T00:00:00"/>
    <s v="West"/>
    <x v="0"/>
    <n v="519"/>
  </r>
  <r>
    <d v="2013-10-25T00:00:00"/>
    <s v="West"/>
    <x v="1"/>
    <n v="651"/>
  </r>
  <r>
    <d v="2013-10-26T00:00:00"/>
    <s v="West"/>
    <x v="2"/>
    <n v="618"/>
  </r>
  <r>
    <d v="2013-10-23T00:00:00"/>
    <s v="Northwest"/>
    <x v="3"/>
    <n v="335"/>
  </r>
  <r>
    <d v="2013-10-20T00:00:00"/>
    <s v="Northwest"/>
    <x v="3"/>
    <n v="640"/>
  </r>
  <r>
    <d v="2013-10-23T00:00:00"/>
    <s v="Southwest"/>
    <x v="4"/>
    <n v="586"/>
  </r>
  <r>
    <d v="2013-10-21T00:00:00"/>
    <s v="West"/>
    <x v="5"/>
    <n v="301"/>
  </r>
  <r>
    <d v="2013-10-25T00:00:00"/>
    <s v="Southwest"/>
    <x v="1"/>
    <n v="359"/>
  </r>
  <r>
    <d v="2013-10-20T00:00:00"/>
    <s v="West"/>
    <x v="4"/>
    <n v="658"/>
  </r>
  <r>
    <d v="2013-10-21T00:00:00"/>
    <s v="Southwest"/>
    <x v="1"/>
    <n v="213"/>
  </r>
  <r>
    <d v="2013-10-25T00:00:00"/>
    <s v="Southwest"/>
    <x v="6"/>
    <n v="500"/>
  </r>
  <r>
    <d v="2013-10-22T00:00:00"/>
    <s v="Northwest"/>
    <x v="4"/>
    <n v="604"/>
  </r>
  <r>
    <d v="2013-10-23T00:00:00"/>
    <s v="West"/>
    <x v="7"/>
    <n v="340"/>
  </r>
  <r>
    <d v="2013-10-21T00:00:00"/>
    <s v="Northwest"/>
    <x v="6"/>
    <n v="117"/>
  </r>
  <r>
    <d v="2013-10-25T00:00:00"/>
    <s v="Southwest"/>
    <x v="8"/>
    <n v="234"/>
  </r>
  <r>
    <d v="2013-10-20T00:00:00"/>
    <s v="West"/>
    <x v="8"/>
    <n v="225"/>
  </r>
  <r>
    <d v="2013-10-25T00:00:00"/>
    <s v="Southwest"/>
    <x v="9"/>
    <n v="302"/>
  </r>
  <r>
    <d v="2013-10-24T00:00:00"/>
    <s v="Northwest"/>
    <x v="10"/>
    <n v="223"/>
  </r>
  <r>
    <d v="2013-10-22T00:00:00"/>
    <s v="West"/>
    <x v="4"/>
    <n v="401"/>
  </r>
  <r>
    <d v="2013-10-24T00:00:00"/>
    <s v="West"/>
    <x v="2"/>
    <n v="405"/>
  </r>
  <r>
    <d v="2013-10-21T00:00:00"/>
    <s v="Northwest"/>
    <x v="5"/>
    <n v="493"/>
  </r>
  <r>
    <d v="2013-10-21T00:00:00"/>
    <s v="Southwest"/>
    <x v="6"/>
    <n v="214"/>
  </r>
  <r>
    <d v="2013-10-22T00:00:00"/>
    <s v="Southwest"/>
    <x v="3"/>
    <n v="366"/>
  </r>
  <r>
    <d v="2013-10-22T00:00:00"/>
    <s v="Northwest"/>
    <x v="1"/>
    <n v="191"/>
  </r>
  <r>
    <d v="2013-10-25T00:00:00"/>
    <s v="West"/>
    <x v="8"/>
    <n v="628"/>
  </r>
  <r>
    <d v="2013-10-26T00:00:00"/>
    <s v="West"/>
    <x v="3"/>
    <n v="144"/>
  </r>
  <r>
    <d v="2013-10-26T00:00:00"/>
    <s v="Southwest"/>
    <x v="8"/>
    <n v="335"/>
  </r>
  <r>
    <d v="2013-10-22T00:00:00"/>
    <s v="Southwest"/>
    <x v="5"/>
    <n v="571"/>
  </r>
  <r>
    <d v="2013-10-25T00:00:00"/>
    <s v="Southwest"/>
    <x v="3"/>
    <n v="136"/>
  </r>
  <r>
    <d v="2013-10-25T00:00:00"/>
    <s v="Northwest"/>
    <x v="6"/>
    <n v="201"/>
  </r>
  <r>
    <d v="2013-10-23T00:00:00"/>
    <s v="Northwest"/>
    <x v="11"/>
    <n v="339"/>
  </r>
  <r>
    <d v="2013-10-25T00:00:00"/>
    <s v="Northwest"/>
    <x v="4"/>
    <n v="203"/>
  </r>
  <r>
    <d v="2013-10-21T00:00:00"/>
    <s v="West"/>
    <x v="7"/>
    <n v="526"/>
  </r>
  <r>
    <d v="2013-10-25T00:00:00"/>
    <s v="West"/>
    <x v="5"/>
    <n v="86"/>
  </r>
  <r>
    <d v="2013-10-24T00:00:00"/>
    <s v="Southwest"/>
    <x v="12"/>
    <n v="388"/>
  </r>
  <r>
    <d v="2013-10-25T00:00:00"/>
    <s v="Northwest"/>
    <x v="13"/>
    <n v="119"/>
  </r>
  <r>
    <d v="2013-10-21T00:00:00"/>
    <s v="West"/>
    <x v="13"/>
    <n v="296"/>
  </r>
  <r>
    <d v="2013-10-21T00:00:00"/>
    <s v="Northwest"/>
    <x v="2"/>
    <n v="295"/>
  </r>
  <r>
    <d v="2013-10-21T00:00:00"/>
    <s v="Northwest"/>
    <x v="11"/>
    <n v="120"/>
  </r>
  <r>
    <d v="2013-10-21T00:00:00"/>
    <s v="West"/>
    <x v="1"/>
    <n v="647"/>
  </r>
  <r>
    <d v="2013-10-22T00:00:00"/>
    <s v="Northwest"/>
    <x v="14"/>
    <n v="159"/>
  </r>
  <r>
    <d v="2013-10-23T00:00:00"/>
    <s v="Northwest"/>
    <x v="7"/>
    <n v="217"/>
  </r>
  <r>
    <d v="2013-10-24T00:00:00"/>
    <s v="Southwest"/>
    <x v="4"/>
    <n v="362"/>
  </r>
  <r>
    <d v="2013-10-26T00:00:00"/>
    <s v="Southwest"/>
    <x v="9"/>
    <n v="599"/>
  </r>
  <r>
    <d v="2013-10-25T00:00:00"/>
    <s v="West"/>
    <x v="0"/>
    <n v="546"/>
  </r>
  <r>
    <d v="2013-10-25T00:00:00"/>
    <s v="Northwest"/>
    <x v="6"/>
    <n v="254"/>
  </r>
  <r>
    <d v="2013-10-20T00:00:00"/>
    <s v="West"/>
    <x v="1"/>
    <n v="101"/>
  </r>
  <r>
    <d v="2013-10-26T00:00:00"/>
    <s v="Southwest"/>
    <x v="6"/>
    <n v="150"/>
  </r>
  <r>
    <d v="2013-10-25T00:00:00"/>
    <s v="Southwest"/>
    <x v="5"/>
    <n v="204"/>
  </r>
  <r>
    <d v="2013-10-24T00:00:00"/>
    <s v="Southwest"/>
    <x v="11"/>
    <n v="106"/>
  </r>
  <r>
    <d v="2013-10-21T00:00:00"/>
    <s v="West"/>
    <x v="5"/>
    <n v="333"/>
  </r>
  <r>
    <d v="2013-10-24T00:00:00"/>
    <s v="Northwest"/>
    <x v="5"/>
    <n v="67"/>
  </r>
  <r>
    <d v="2013-10-20T00:00:00"/>
    <s v="Northwest"/>
    <x v="9"/>
    <n v="51"/>
  </r>
  <r>
    <d v="2013-10-21T00:00:00"/>
    <s v="Southwest"/>
    <x v="6"/>
    <n v="279"/>
  </r>
  <r>
    <d v="2013-10-24T00:00:00"/>
    <s v="Southwest"/>
    <x v="15"/>
    <n v="123"/>
  </r>
  <r>
    <d v="2013-10-21T00:00:00"/>
    <s v="West"/>
    <x v="3"/>
    <n v="519"/>
  </r>
  <r>
    <d v="2013-10-22T00:00:00"/>
    <s v="Northwest"/>
    <x v="8"/>
    <n v="501"/>
  </r>
  <r>
    <d v="2013-10-26T00:00:00"/>
    <s v="West"/>
    <x v="13"/>
    <n v="235"/>
  </r>
  <r>
    <d v="2013-10-23T00:00:00"/>
    <s v="Southwest"/>
    <x v="2"/>
    <n v="35"/>
  </r>
  <r>
    <d v="2013-10-23T00:00:00"/>
    <s v="West"/>
    <x v="3"/>
    <n v="319"/>
  </r>
  <r>
    <d v="2013-10-24T00:00:00"/>
    <s v="Northwest"/>
    <x v="2"/>
    <n v="551"/>
  </r>
  <r>
    <d v="2013-10-26T00:00:00"/>
    <s v="Southwest"/>
    <x v="12"/>
    <n v="188"/>
  </r>
  <r>
    <d v="2013-10-25T00:00:00"/>
    <s v="West"/>
    <x v="13"/>
    <n v="129"/>
  </r>
  <r>
    <d v="2013-10-20T00:00:00"/>
    <s v="West"/>
    <x v="11"/>
    <n v="339"/>
  </r>
  <r>
    <d v="2013-10-21T00:00:00"/>
    <s v="Southwest"/>
    <x v="13"/>
    <n v="485"/>
  </r>
  <r>
    <d v="2013-10-20T00:00:00"/>
    <s v="West"/>
    <x v="8"/>
    <n v="29"/>
  </r>
  <r>
    <d v="2013-10-20T00:00:00"/>
    <s v="Southwest"/>
    <x v="4"/>
    <n v="135"/>
  </r>
  <r>
    <d v="2013-10-26T00:00:00"/>
    <s v="Southwest"/>
    <x v="0"/>
    <n v="584"/>
  </r>
  <r>
    <d v="2013-10-23T00:00:00"/>
    <s v="Northwest"/>
    <x v="6"/>
    <n v="684"/>
  </r>
  <r>
    <d v="2013-10-23T00:00:00"/>
    <s v="West"/>
    <x v="3"/>
    <n v="528"/>
  </r>
  <r>
    <d v="2013-10-26T00:00:00"/>
    <s v="Southwest"/>
    <x v="6"/>
    <n v="675"/>
  </r>
  <r>
    <d v="2013-10-23T00:00:00"/>
    <s v="West"/>
    <x v="11"/>
    <n v="119"/>
  </r>
  <r>
    <d v="2013-10-22T00:00:00"/>
    <s v="West"/>
    <x v="4"/>
    <n v="368"/>
  </r>
  <r>
    <d v="2013-10-24T00:00:00"/>
    <s v="Southwest"/>
    <x v="16"/>
    <n v="524"/>
  </r>
  <r>
    <d v="2013-10-24T00:00:00"/>
    <s v="Southwest"/>
    <x v="6"/>
    <n v="329"/>
  </r>
  <r>
    <d v="2013-10-26T00:00:00"/>
    <s v="West"/>
    <x v="17"/>
    <n v="146"/>
  </r>
  <r>
    <d v="2013-10-26T00:00:00"/>
    <s v="Northwest"/>
    <x v="3"/>
    <n v="350"/>
  </r>
  <r>
    <d v="2013-10-23T00:00:00"/>
    <s v="Southwest"/>
    <x v="12"/>
    <n v="387"/>
  </r>
  <r>
    <d v="2013-10-20T00:00:00"/>
    <s v="Southwest"/>
    <x v="18"/>
    <n v="244"/>
  </r>
  <r>
    <d v="2013-10-23T00:00:00"/>
    <s v="Southwest"/>
    <x v="13"/>
    <n v="388"/>
  </r>
  <r>
    <d v="2013-10-20T00:00:00"/>
    <s v="Southwest"/>
    <x v="12"/>
    <n v="449"/>
  </r>
  <r>
    <d v="2013-10-22T00:00:00"/>
    <s v="West"/>
    <x v="12"/>
    <n v="477"/>
  </r>
  <r>
    <d v="2013-10-23T00:00:00"/>
    <s v="Southwest"/>
    <x v="19"/>
    <n v="457"/>
  </r>
  <r>
    <d v="2013-10-26T00:00:00"/>
    <s v="Southwest"/>
    <x v="2"/>
    <n v="105"/>
  </r>
  <r>
    <d v="2013-10-22T00:00:00"/>
    <s v="West"/>
    <x v="17"/>
    <n v="458"/>
  </r>
  <r>
    <d v="2013-10-26T00:00:00"/>
    <s v="Northwest"/>
    <x v="1"/>
    <n v="110"/>
  </r>
  <r>
    <d v="2013-10-21T00:00:00"/>
    <s v="West"/>
    <x v="12"/>
    <n v="32"/>
  </r>
  <r>
    <d v="2013-10-24T00:00:00"/>
    <s v="West"/>
    <x v="20"/>
    <n v="681"/>
  </r>
  <r>
    <d v="2013-10-23T00:00:00"/>
    <s v="Northwest"/>
    <x v="2"/>
    <n v="320"/>
  </r>
  <r>
    <d v="2013-10-25T00:00:00"/>
    <s v="Northwest"/>
    <x v="16"/>
    <n v="601"/>
  </r>
  <r>
    <d v="2013-10-25T00:00:00"/>
    <s v="Southwest"/>
    <x v="8"/>
    <n v="101"/>
  </r>
  <r>
    <d v="2013-10-23T00:00:00"/>
    <s v="Northwest"/>
    <x v="19"/>
    <n v="172"/>
  </r>
  <r>
    <d v="2013-10-20T00:00:00"/>
    <s v="West"/>
    <x v="11"/>
    <n v="197"/>
  </r>
  <r>
    <d v="2013-10-22T00:00:00"/>
    <s v="West"/>
    <x v="3"/>
    <n v="346"/>
  </r>
  <r>
    <d v="2013-10-26T00:00:00"/>
    <s v="West"/>
    <x v="21"/>
    <n v="318"/>
  </r>
  <r>
    <d v="2013-10-21T00:00:00"/>
    <s v="West"/>
    <x v="21"/>
    <n v="245"/>
  </r>
  <r>
    <d v="2013-10-25T00:00:00"/>
    <s v="Southwest"/>
    <x v="13"/>
    <n v="498"/>
  </r>
  <r>
    <d v="2013-10-26T00:00:00"/>
    <s v="Southwest"/>
    <x v="6"/>
    <n v="272"/>
  </r>
  <r>
    <d v="2013-10-21T00:00:00"/>
    <s v="Southwest"/>
    <x v="13"/>
    <n v="424"/>
  </r>
  <r>
    <d v="2013-10-26T00:00:00"/>
    <s v="Northwest"/>
    <x v="6"/>
    <n v="122"/>
  </r>
  <r>
    <d v="2013-10-23T00:00:00"/>
    <s v="Southwest"/>
    <x v="6"/>
    <n v="39"/>
  </r>
  <r>
    <d v="2013-10-21T00:00:00"/>
    <s v="Southwest"/>
    <x v="0"/>
    <n v="400"/>
  </r>
  <r>
    <d v="2013-10-26T00:00:00"/>
    <s v="West"/>
    <x v="3"/>
    <n v="416"/>
  </r>
  <r>
    <d v="2013-10-20T00:00:00"/>
    <s v="Southwest"/>
    <x v="9"/>
    <n v="397"/>
  </r>
  <r>
    <d v="2013-10-25T00:00:00"/>
    <s v="Northwest"/>
    <x v="5"/>
    <n v="671"/>
  </r>
  <r>
    <d v="2013-10-25T00:00:00"/>
    <s v="Southwest"/>
    <x v="3"/>
    <n v="148"/>
  </r>
  <r>
    <d v="2013-10-21T00:00:00"/>
    <s v="Northwest"/>
    <x v="10"/>
    <n v="115"/>
  </r>
  <r>
    <d v="2013-10-25T00:00:00"/>
    <s v="Northwest"/>
    <x v="22"/>
    <n v="639"/>
  </r>
  <r>
    <d v="2013-10-24T00:00:00"/>
    <s v="Southwest"/>
    <x v="13"/>
    <n v="659"/>
  </r>
  <r>
    <d v="2013-10-22T00:00:00"/>
    <s v="West"/>
    <x v="2"/>
    <n v="36"/>
  </r>
  <r>
    <d v="2013-10-21T00:00:00"/>
    <s v="Northwest"/>
    <x v="10"/>
    <n v="102"/>
  </r>
  <r>
    <d v="2013-10-22T00:00:00"/>
    <s v="West"/>
    <x v="8"/>
    <n v="413"/>
  </r>
  <r>
    <d v="2013-10-25T00:00:00"/>
    <s v="West"/>
    <x v="12"/>
    <n v="166"/>
  </r>
  <r>
    <d v="2013-10-22T00:00:00"/>
    <s v="West"/>
    <x v="4"/>
    <n v="97"/>
  </r>
  <r>
    <d v="2013-10-26T00:00:00"/>
    <s v="West"/>
    <x v="17"/>
    <n v="127"/>
  </r>
  <r>
    <d v="2013-10-20T00:00:00"/>
    <s v="Northwest"/>
    <x v="23"/>
    <n v="60"/>
  </r>
  <r>
    <d v="2013-10-22T00:00:00"/>
    <s v="Southwest"/>
    <x v="8"/>
    <n v="496"/>
  </r>
  <r>
    <d v="2013-10-23T00:00:00"/>
    <s v="Northwest"/>
    <x v="17"/>
    <n v="204"/>
  </r>
  <r>
    <d v="2013-10-26T00:00:00"/>
    <s v="Northwest"/>
    <x v="3"/>
    <n v="489"/>
  </r>
  <r>
    <d v="2013-10-20T00:00:00"/>
    <s v="West"/>
    <x v="18"/>
    <n v="266"/>
  </r>
  <r>
    <d v="2013-10-20T00:00:00"/>
    <s v="Northwest"/>
    <x v="13"/>
    <n v="364"/>
  </r>
  <r>
    <d v="2013-10-20T00:00:00"/>
    <s v="Northwest"/>
    <x v="2"/>
    <n v="579"/>
  </r>
  <r>
    <d v="2013-10-21T00:00:00"/>
    <s v="West"/>
    <x v="18"/>
    <n v="587"/>
  </r>
  <r>
    <d v="2013-10-26T00:00:00"/>
    <s v="West"/>
    <x v="23"/>
    <n v="543"/>
  </r>
  <r>
    <d v="2013-10-22T00:00:00"/>
    <s v="Northwest"/>
    <x v="8"/>
    <n v="644"/>
  </r>
  <r>
    <d v="2013-10-20T00:00:00"/>
    <s v="West"/>
    <x v="3"/>
    <n v="564"/>
  </r>
  <r>
    <d v="2013-10-22T00:00:00"/>
    <s v="Southwest"/>
    <x v="18"/>
    <n v="149"/>
  </r>
  <r>
    <d v="2013-10-23T00:00:00"/>
    <s v="Southwest"/>
    <x v="2"/>
    <n v="201"/>
  </r>
  <r>
    <d v="2013-10-25T00:00:00"/>
    <s v="West"/>
    <x v="23"/>
    <n v="51"/>
  </r>
  <r>
    <d v="2013-10-23T00:00:00"/>
    <s v="West"/>
    <x v="5"/>
    <n v="195"/>
  </r>
  <r>
    <d v="2013-10-26T00:00:00"/>
    <s v="Northwest"/>
    <x v="4"/>
    <n v="660"/>
  </r>
  <r>
    <d v="2013-10-21T00:00:00"/>
    <s v="Northwest"/>
    <x v="5"/>
    <n v="523"/>
  </r>
  <r>
    <d v="2013-10-23T00:00:00"/>
    <s v="West"/>
    <x v="13"/>
    <n v="649"/>
  </r>
  <r>
    <d v="2013-10-25T00:00:00"/>
    <s v="Southwest"/>
    <x v="1"/>
    <n v="409"/>
  </r>
  <r>
    <d v="2013-10-20T00:00:00"/>
    <s v="Northwest"/>
    <x v="9"/>
    <n v="556"/>
  </r>
  <r>
    <d v="2013-10-22T00:00:00"/>
    <s v="Northwest"/>
    <x v="4"/>
    <n v="565"/>
  </r>
  <r>
    <d v="2013-10-20T00:00:00"/>
    <s v="Southwest"/>
    <x v="1"/>
    <n v="357"/>
  </r>
  <r>
    <d v="2013-10-25T00:00:00"/>
    <s v="West"/>
    <x v="7"/>
    <n v="219"/>
  </r>
  <r>
    <d v="2013-10-25T00:00:00"/>
    <s v="Northwest"/>
    <x v="16"/>
    <n v="327"/>
  </r>
  <r>
    <d v="2013-10-20T00:00:00"/>
    <s v="Southwest"/>
    <x v="9"/>
    <n v="666"/>
  </r>
  <r>
    <d v="2013-10-20T00:00:00"/>
    <s v="Northwest"/>
    <x v="16"/>
    <n v="290"/>
  </r>
  <r>
    <d v="2013-10-24T00:00:00"/>
    <s v="Northwest"/>
    <x v="1"/>
    <n v="64"/>
  </r>
  <r>
    <d v="2013-10-24T00:00:00"/>
    <s v="West"/>
    <x v="12"/>
    <n v="373"/>
  </r>
  <r>
    <d v="2013-10-26T00:00:00"/>
    <s v="Northwest"/>
    <x v="11"/>
    <n v="249"/>
  </r>
  <r>
    <d v="2013-10-20T00:00:00"/>
    <s v="Northwest"/>
    <x v="24"/>
    <n v="237"/>
  </r>
  <r>
    <d v="2013-10-22T00:00:00"/>
    <s v="West"/>
    <x v="12"/>
    <n v="138"/>
  </r>
  <r>
    <d v="2013-10-26T00:00:00"/>
    <s v="West"/>
    <x v="18"/>
    <n v="324"/>
  </r>
  <r>
    <d v="2013-10-22T00:00:00"/>
    <s v="Southwest"/>
    <x v="13"/>
    <n v="633"/>
  </r>
  <r>
    <d v="2013-10-26T00:00:00"/>
    <s v="Southwest"/>
    <x v="6"/>
    <n v="240"/>
  </r>
  <r>
    <d v="2013-10-20T00:00:00"/>
    <s v="Southwest"/>
    <x v="11"/>
    <n v="615"/>
  </r>
  <r>
    <d v="2013-10-22T00:00:00"/>
    <s v="Southwest"/>
    <x v="5"/>
    <n v="180"/>
  </r>
  <r>
    <d v="2013-10-25T00:00:00"/>
    <s v="West"/>
    <x v="15"/>
    <n v="415"/>
  </r>
  <r>
    <d v="2013-10-22T00:00:00"/>
    <s v="West"/>
    <x v="10"/>
    <n v="305"/>
  </r>
  <r>
    <d v="2013-10-25T00:00:00"/>
    <s v="Northwest"/>
    <x v="13"/>
    <n v="657"/>
  </r>
  <r>
    <d v="2013-10-23T00:00:00"/>
    <s v="West"/>
    <x v="13"/>
    <n v="474"/>
  </r>
  <r>
    <d v="2013-10-22T00:00:00"/>
    <s v="West"/>
    <x v="12"/>
    <n v="611"/>
  </r>
  <r>
    <d v="2013-10-21T00:00:00"/>
    <s v="West"/>
    <x v="24"/>
    <n v="682"/>
  </r>
  <r>
    <d v="2013-10-24T00:00:00"/>
    <s v="Northwest"/>
    <x v="10"/>
    <n v="398"/>
  </r>
  <r>
    <d v="2013-10-23T00:00:00"/>
    <s v="Northwest"/>
    <x v="12"/>
    <n v="74"/>
  </r>
  <r>
    <d v="2013-10-24T00:00:00"/>
    <s v="West"/>
    <x v="6"/>
    <n v="243"/>
  </r>
  <r>
    <d v="2013-10-25T00:00:00"/>
    <s v="West"/>
    <x v="2"/>
    <n v="151"/>
  </r>
  <r>
    <d v="2013-10-25T00:00:00"/>
    <s v="Northwest"/>
    <x v="13"/>
    <n v="174"/>
  </r>
  <r>
    <d v="2013-10-24T00:00:00"/>
    <s v="Northwest"/>
    <x v="16"/>
    <n v="304"/>
  </r>
  <r>
    <d v="2013-10-20T00:00:00"/>
    <s v="West"/>
    <x v="14"/>
    <n v="457"/>
  </r>
  <r>
    <d v="2013-10-20T00:00:00"/>
    <s v="Southwest"/>
    <x v="3"/>
    <n v="315"/>
  </r>
  <r>
    <d v="2013-10-23T00:00:00"/>
    <s v="Northwest"/>
    <x v="4"/>
    <n v="295"/>
  </r>
  <r>
    <d v="2013-10-22T00:00:00"/>
    <s v="Northwest"/>
    <x v="8"/>
    <n v="534"/>
  </r>
  <r>
    <d v="2013-10-23T00:00:00"/>
    <s v="West"/>
    <x v="0"/>
    <n v="598"/>
  </r>
  <r>
    <d v="2013-10-24T00:00:00"/>
    <s v="Southwest"/>
    <x v="6"/>
    <n v="14"/>
  </r>
  <r>
    <d v="2013-10-22T00:00:00"/>
    <s v="Southwest"/>
    <x v="13"/>
    <n v="26"/>
  </r>
  <r>
    <d v="2013-10-23T00:00:00"/>
    <s v="West"/>
    <x v="22"/>
    <n v="108"/>
  </r>
  <r>
    <d v="2013-10-22T00:00:00"/>
    <s v="West"/>
    <x v="23"/>
    <n v="114"/>
  </r>
  <r>
    <d v="2013-10-26T00:00:00"/>
    <s v="Northwest"/>
    <x v="19"/>
    <n v="684"/>
  </r>
  <r>
    <d v="2013-10-25T00:00:00"/>
    <s v="West"/>
    <x v="24"/>
    <n v="258"/>
  </r>
  <r>
    <d v="2013-10-21T00:00:00"/>
    <s v="Northwest"/>
    <x v="21"/>
    <n v="439"/>
  </r>
  <r>
    <d v="2013-10-26T00:00:00"/>
    <s v="Northwest"/>
    <x v="3"/>
    <n v="583"/>
  </r>
  <r>
    <d v="2013-10-25T00:00:00"/>
    <s v="West"/>
    <x v="6"/>
    <n v="664"/>
  </r>
  <r>
    <d v="2013-10-24T00:00:00"/>
    <s v="West"/>
    <x v="1"/>
    <n v="339"/>
  </r>
  <r>
    <d v="2013-10-24T00:00:00"/>
    <s v="Northwest"/>
    <x v="16"/>
    <n v="164"/>
  </r>
  <r>
    <d v="2013-10-22T00:00:00"/>
    <s v="Southwest"/>
    <x v="1"/>
    <n v="671"/>
  </r>
  <r>
    <d v="2013-10-23T00:00:00"/>
    <s v="Southwest"/>
    <x v="8"/>
    <n v="241"/>
  </r>
  <r>
    <d v="2013-10-24T00:00:00"/>
    <s v="West"/>
    <x v="8"/>
    <n v="257"/>
  </r>
  <r>
    <d v="2013-10-23T00:00:00"/>
    <s v="Northwest"/>
    <x v="24"/>
    <n v="264"/>
  </r>
  <r>
    <d v="2013-10-26T00:00:00"/>
    <s v="West"/>
    <x v="8"/>
    <n v="471"/>
  </r>
  <r>
    <d v="2013-10-21T00:00:00"/>
    <s v="Northwest"/>
    <x v="15"/>
    <n v="40"/>
  </r>
  <r>
    <d v="2013-10-22T00:00:00"/>
    <s v="West"/>
    <x v="18"/>
    <n v="594"/>
  </r>
  <r>
    <d v="2013-10-21T00:00:00"/>
    <s v="West"/>
    <x v="4"/>
    <n v="605"/>
  </r>
  <r>
    <d v="2013-10-24T00:00:00"/>
    <s v="West"/>
    <x v="10"/>
    <n v="409"/>
  </r>
  <r>
    <d v="2013-10-21T00:00:00"/>
    <s v="Northwest"/>
    <x v="15"/>
    <n v="250"/>
  </r>
  <r>
    <d v="2013-10-22T00:00:00"/>
    <s v="Southwest"/>
    <x v="15"/>
    <n v="481"/>
  </r>
  <r>
    <d v="2013-10-25T00:00:00"/>
    <s v="West"/>
    <x v="17"/>
    <n v="529"/>
  </r>
  <r>
    <d v="2013-10-24T00:00:00"/>
    <s v="Southwest"/>
    <x v="14"/>
    <n v="56"/>
  </r>
  <r>
    <d v="2013-10-23T00:00:00"/>
    <s v="West"/>
    <x v="3"/>
    <n v="82"/>
  </r>
  <r>
    <d v="2013-10-26T00:00:00"/>
    <s v="West"/>
    <x v="6"/>
    <n v="575"/>
  </r>
  <r>
    <d v="2013-10-22T00:00:00"/>
    <s v="West"/>
    <x v="13"/>
    <n v="665"/>
  </r>
  <r>
    <d v="2013-10-25T00:00:00"/>
    <s v="West"/>
    <x v="13"/>
    <n v="490"/>
  </r>
  <r>
    <d v="2013-10-23T00:00:00"/>
    <s v="Southwest"/>
    <x v="8"/>
    <n v="630"/>
  </r>
  <r>
    <d v="2013-10-25T00:00:00"/>
    <s v="Southwest"/>
    <x v="1"/>
    <n v="352"/>
  </r>
  <r>
    <d v="2013-10-23T00:00:00"/>
    <s v="Southwest"/>
    <x v="20"/>
    <n v="269"/>
  </r>
  <r>
    <d v="2013-10-22T00:00:00"/>
    <s v="Southwest"/>
    <x v="0"/>
    <n v="200"/>
  </r>
  <r>
    <d v="2013-10-23T00:00:00"/>
    <s v="West"/>
    <x v="12"/>
    <n v="329"/>
  </r>
  <r>
    <d v="2013-10-24T00:00:00"/>
    <s v="West"/>
    <x v="4"/>
    <n v="605"/>
  </r>
  <r>
    <d v="2013-10-22T00:00:00"/>
    <s v="West"/>
    <x v="18"/>
    <n v="340"/>
  </r>
  <r>
    <d v="2013-10-22T00:00:00"/>
    <s v="West"/>
    <x v="12"/>
    <n v="456"/>
  </r>
  <r>
    <d v="2013-10-22T00:00:00"/>
    <s v="West"/>
    <x v="17"/>
    <n v="368"/>
  </r>
  <r>
    <d v="2013-10-22T00:00:00"/>
    <s v="Northwest"/>
    <x v="6"/>
    <n v="510"/>
  </r>
  <r>
    <d v="2013-10-21T00:00:00"/>
    <s v="Northwest"/>
    <x v="2"/>
    <n v="63"/>
  </r>
  <r>
    <d v="2013-10-23T00:00:00"/>
    <s v="Northwest"/>
    <x v="1"/>
    <n v="359"/>
  </r>
  <r>
    <d v="2013-10-20T00:00:00"/>
    <s v="West"/>
    <x v="2"/>
    <n v="138"/>
  </r>
  <r>
    <d v="2013-10-26T00:00:00"/>
    <s v="Northwest"/>
    <x v="23"/>
    <n v="35"/>
  </r>
  <r>
    <d v="2013-10-26T00:00:00"/>
    <s v="Southwest"/>
    <x v="5"/>
    <n v="386"/>
  </r>
  <r>
    <d v="2013-10-26T00:00:00"/>
    <s v="Southwest"/>
    <x v="8"/>
    <n v="73"/>
  </r>
  <r>
    <d v="2013-10-25T00:00:00"/>
    <s v="Northwest"/>
    <x v="8"/>
    <n v="389"/>
  </r>
  <r>
    <d v="2013-10-26T00:00:00"/>
    <s v="West"/>
    <x v="13"/>
    <n v="321"/>
  </r>
  <r>
    <d v="2013-10-24T00:00:00"/>
    <s v="Northwest"/>
    <x v="13"/>
    <n v="175"/>
  </r>
  <r>
    <d v="2013-10-25T00:00:00"/>
    <s v="Southwest"/>
    <x v="1"/>
    <n v="438"/>
  </r>
  <r>
    <d v="2013-10-20T00:00:00"/>
    <s v="Southwest"/>
    <x v="3"/>
    <n v="622"/>
  </r>
  <r>
    <d v="2013-10-21T00:00:00"/>
    <s v="Southwest"/>
    <x v="3"/>
    <n v="612"/>
  </r>
  <r>
    <d v="2013-10-24T00:00:00"/>
    <s v="Southwest"/>
    <x v="2"/>
    <n v="404"/>
  </r>
  <r>
    <d v="2013-10-26T00:00:00"/>
    <s v="Southwest"/>
    <x v="1"/>
    <n v="632"/>
  </r>
  <r>
    <d v="2013-10-22T00:00:00"/>
    <s v="Northwest"/>
    <x v="1"/>
    <n v="20"/>
  </r>
  <r>
    <d v="2013-10-20T00:00:00"/>
    <s v="West"/>
    <x v="20"/>
    <n v="264"/>
  </r>
  <r>
    <d v="2013-10-20T00:00:00"/>
    <s v="Northwest"/>
    <x v="1"/>
    <n v="656"/>
  </r>
  <r>
    <d v="2013-10-21T00:00:00"/>
    <s v="Northwest"/>
    <x v="0"/>
    <n v="391"/>
  </r>
  <r>
    <d v="2013-10-20T00:00:00"/>
    <s v="Southwest"/>
    <x v="2"/>
    <n v="686"/>
  </r>
  <r>
    <d v="2013-10-26T00:00:00"/>
    <s v="Northwest"/>
    <x v="22"/>
    <n v="466"/>
  </r>
  <r>
    <d v="2013-10-22T00:00:00"/>
    <s v="West"/>
    <x v="13"/>
    <n v="661"/>
  </r>
  <r>
    <d v="2013-10-21T00:00:00"/>
    <s v="Southwest"/>
    <x v="6"/>
    <n v="654"/>
  </r>
  <r>
    <d v="2013-10-22T00:00:00"/>
    <s v="West"/>
    <x v="12"/>
    <n v="661"/>
  </r>
  <r>
    <d v="2013-10-25T00:00:00"/>
    <s v="West"/>
    <x v="14"/>
    <n v="202"/>
  </r>
  <r>
    <d v="2013-10-23T00:00:00"/>
    <s v="West"/>
    <x v="6"/>
    <n v="335"/>
  </r>
  <r>
    <d v="2013-10-24T00:00:00"/>
    <s v="Southwest"/>
    <x v="12"/>
    <n v="181"/>
  </r>
  <r>
    <d v="2013-10-23T00:00:00"/>
    <s v="West"/>
    <x v="3"/>
    <n v="370"/>
  </r>
  <r>
    <d v="2013-10-23T00:00:00"/>
    <s v="West"/>
    <x v="4"/>
    <n v="608"/>
  </r>
  <r>
    <d v="2013-10-26T00:00:00"/>
    <s v="West"/>
    <x v="6"/>
    <n v="74"/>
  </r>
  <r>
    <d v="2013-10-21T00:00:00"/>
    <s v="Southwest"/>
    <x v="7"/>
    <n v="349"/>
  </r>
  <r>
    <d v="2013-10-23T00:00:00"/>
    <s v="Northwest"/>
    <x v="2"/>
    <n v="77"/>
  </r>
  <r>
    <d v="2013-10-20T00:00:00"/>
    <s v="Southwest"/>
    <x v="5"/>
    <n v="77"/>
  </r>
  <r>
    <d v="2013-10-26T00:00:00"/>
    <s v="Southwest"/>
    <x v="4"/>
    <n v="639"/>
  </r>
  <r>
    <d v="2013-10-26T00:00:00"/>
    <s v="Southwest"/>
    <x v="12"/>
    <n v="97"/>
  </r>
  <r>
    <d v="2013-10-24T00:00:00"/>
    <s v="Northwest"/>
    <x v="12"/>
    <n v="56"/>
  </r>
  <r>
    <d v="2013-10-22T00:00:00"/>
    <s v="Southwest"/>
    <x v="8"/>
    <n v="22"/>
  </r>
  <r>
    <d v="2013-10-22T00:00:00"/>
    <s v="West"/>
    <x v="23"/>
    <n v="306"/>
  </r>
  <r>
    <d v="2013-10-25T00:00:00"/>
    <s v="Northwest"/>
    <x v="1"/>
    <n v="329"/>
  </r>
  <r>
    <d v="2013-10-20T00:00:00"/>
    <s v="West"/>
    <x v="1"/>
    <n v="95"/>
  </r>
  <r>
    <d v="2013-10-25T00:00:00"/>
    <s v="Southwest"/>
    <x v="13"/>
    <n v="270"/>
  </r>
  <r>
    <d v="2013-10-26T00:00:00"/>
    <s v="Southwest"/>
    <x v="11"/>
    <n v="648"/>
  </r>
  <r>
    <d v="2013-10-24T00:00:00"/>
    <s v="Northwest"/>
    <x v="6"/>
    <n v="169"/>
  </r>
  <r>
    <d v="2013-10-21T00:00:00"/>
    <s v="West"/>
    <x v="4"/>
    <n v="488"/>
  </r>
  <r>
    <d v="2013-10-22T00:00:00"/>
    <s v="Northwest"/>
    <x v="2"/>
    <n v="353"/>
  </r>
  <r>
    <d v="2013-10-22T00:00:00"/>
    <s v="West"/>
    <x v="1"/>
    <n v="613"/>
  </r>
  <r>
    <d v="2013-10-23T00:00:00"/>
    <s v="West"/>
    <x v="5"/>
    <n v="664"/>
  </r>
  <r>
    <d v="2013-10-23T00:00:00"/>
    <s v="West"/>
    <x v="24"/>
    <n v="343"/>
  </r>
  <r>
    <d v="2013-10-24T00:00:00"/>
    <s v="Southwest"/>
    <x v="23"/>
    <n v="318"/>
  </r>
  <r>
    <d v="2013-10-26T00:00:00"/>
    <s v="Northwest"/>
    <x v="15"/>
    <n v="294"/>
  </r>
  <r>
    <d v="2013-10-23T00:00:00"/>
    <s v="Northwest"/>
    <x v="8"/>
    <n v="295"/>
  </r>
  <r>
    <d v="2013-10-26T00:00:00"/>
    <s v="Northwest"/>
    <x v="13"/>
    <n v="197"/>
  </r>
  <r>
    <d v="2013-10-21T00:00:00"/>
    <s v="Northwest"/>
    <x v="5"/>
    <n v="682"/>
  </r>
  <r>
    <d v="2013-10-23T00:00:00"/>
    <s v="West"/>
    <x v="18"/>
    <n v="147"/>
  </r>
  <r>
    <d v="2013-10-24T00:00:00"/>
    <s v="West"/>
    <x v="15"/>
    <n v="662"/>
  </r>
  <r>
    <d v="2013-10-25T00:00:00"/>
    <s v="Northwest"/>
    <x v="13"/>
    <n v="482"/>
  </r>
  <r>
    <d v="2013-10-24T00:00:00"/>
    <s v="Southwest"/>
    <x v="4"/>
    <n v="503"/>
  </r>
  <r>
    <d v="2013-10-24T00:00:00"/>
    <s v="West"/>
    <x v="1"/>
    <n v="190"/>
  </r>
  <r>
    <d v="2013-10-25T00:00:00"/>
    <s v="Southwest"/>
    <x v="20"/>
    <n v="477"/>
  </r>
  <r>
    <d v="2013-10-21T00:00:00"/>
    <s v="Southwest"/>
    <x v="1"/>
    <n v="630"/>
  </r>
  <r>
    <d v="2013-10-21T00:00:00"/>
    <s v="West"/>
    <x v="6"/>
    <n v="576"/>
  </r>
  <r>
    <d v="2013-10-25T00:00:00"/>
    <s v="West"/>
    <x v="12"/>
    <n v="43"/>
  </r>
  <r>
    <d v="2013-10-22T00:00:00"/>
    <s v="Southwest"/>
    <x v="4"/>
    <n v="460"/>
  </r>
  <r>
    <d v="2013-10-20T00:00:00"/>
    <s v="West"/>
    <x v="18"/>
    <n v="347"/>
  </r>
  <r>
    <d v="2013-10-23T00:00:00"/>
    <s v="Northwest"/>
    <x v="13"/>
    <n v="245"/>
  </r>
  <r>
    <d v="2013-10-26T00:00:00"/>
    <s v="West"/>
    <x v="12"/>
    <n v="303"/>
  </r>
  <r>
    <d v="2013-10-22T00:00:00"/>
    <s v="Southwest"/>
    <x v="6"/>
    <n v="60"/>
  </r>
  <r>
    <d v="2013-10-23T00:00:00"/>
    <s v="Northwest"/>
    <x v="8"/>
    <n v="191"/>
  </r>
  <r>
    <d v="2013-10-24T00:00:00"/>
    <s v="Southwest"/>
    <x v="2"/>
    <n v="550"/>
  </r>
  <r>
    <d v="2013-10-20T00:00:00"/>
    <s v="Northwest"/>
    <x v="11"/>
    <n v="222"/>
  </r>
  <r>
    <d v="2013-10-24T00:00:00"/>
    <s v="Southwest"/>
    <x v="4"/>
    <n v="213"/>
  </r>
  <r>
    <d v="2013-10-26T00:00:00"/>
    <s v="Southwest"/>
    <x v="20"/>
    <n v="28"/>
  </r>
  <r>
    <d v="2013-10-22T00:00:00"/>
    <s v="West"/>
    <x v="5"/>
    <n v="552"/>
  </r>
  <r>
    <d v="2013-10-23T00:00:00"/>
    <s v="West"/>
    <x v="4"/>
    <n v="608"/>
  </r>
  <r>
    <d v="2013-10-25T00:00:00"/>
    <s v="West"/>
    <x v="5"/>
    <n v="308"/>
  </r>
  <r>
    <d v="2013-10-22T00:00:00"/>
    <s v="Southwest"/>
    <x v="24"/>
    <n v="56"/>
  </r>
  <r>
    <d v="2013-10-26T00:00:00"/>
    <s v="Southwest"/>
    <x v="24"/>
    <n v="303"/>
  </r>
  <r>
    <d v="2013-10-22T00:00:00"/>
    <s v="West"/>
    <x v="18"/>
    <n v="561"/>
  </r>
  <r>
    <d v="2013-10-20T00:00:00"/>
    <s v="Southwest"/>
    <x v="11"/>
    <n v="264"/>
  </r>
  <r>
    <d v="2013-10-20T00:00:00"/>
    <s v="Southwest"/>
    <x v="12"/>
    <n v="249"/>
  </r>
  <r>
    <d v="2013-10-25T00:00:00"/>
    <s v="Northwest"/>
    <x v="2"/>
    <n v="259"/>
  </r>
  <r>
    <d v="2013-10-26T00:00:00"/>
    <s v="Northwest"/>
    <x v="13"/>
    <n v="609"/>
  </r>
  <r>
    <d v="2013-10-21T00:00:00"/>
    <s v="Northwest"/>
    <x v="12"/>
    <n v="213"/>
  </r>
  <r>
    <d v="2013-10-21T00:00:00"/>
    <s v="West"/>
    <x v="12"/>
    <n v="301"/>
  </r>
  <r>
    <d v="2013-10-26T00:00:00"/>
    <s v="Southwest"/>
    <x v="20"/>
    <n v="359"/>
  </r>
  <r>
    <d v="2013-10-26T00:00:00"/>
    <s v="West"/>
    <x v="8"/>
    <n v="18"/>
  </r>
  <r>
    <d v="2013-10-20T00:00:00"/>
    <s v="Southwest"/>
    <x v="2"/>
    <n v="98"/>
  </r>
  <r>
    <d v="2013-10-22T00:00:00"/>
    <s v="Northwest"/>
    <x v="12"/>
    <n v="274"/>
  </r>
  <r>
    <d v="2013-10-24T00:00:00"/>
    <s v="Southwest"/>
    <x v="9"/>
    <n v="466"/>
  </r>
  <r>
    <d v="2013-10-20T00:00:00"/>
    <s v="Northwest"/>
    <x v="6"/>
    <n v="65"/>
  </r>
  <r>
    <d v="2013-10-21T00:00:00"/>
    <s v="Northwest"/>
    <x v="13"/>
    <n v="638"/>
  </r>
  <r>
    <d v="2013-10-23T00:00:00"/>
    <s v="West"/>
    <x v="6"/>
    <n v="73"/>
  </r>
  <r>
    <d v="2013-10-20T00:00:00"/>
    <s v="West"/>
    <x v="4"/>
    <n v="89"/>
  </r>
  <r>
    <d v="2013-10-22T00:00:00"/>
    <s v="West"/>
    <x v="6"/>
    <n v="154"/>
  </r>
  <r>
    <d v="2013-10-20T00:00:00"/>
    <s v="West"/>
    <x v="20"/>
    <n v="209"/>
  </r>
  <r>
    <d v="2013-10-23T00:00:00"/>
    <s v="West"/>
    <x v="6"/>
    <n v="296"/>
  </r>
  <r>
    <d v="2013-10-25T00:00:00"/>
    <s v="Northwest"/>
    <x v="0"/>
    <n v="564"/>
  </r>
  <r>
    <d v="2013-10-25T00:00:00"/>
    <s v="Southwest"/>
    <x v="2"/>
    <n v="338"/>
  </r>
  <r>
    <d v="2013-10-25T00:00:00"/>
    <s v="Northwest"/>
    <x v="3"/>
    <n v="428"/>
  </r>
  <r>
    <d v="2013-10-26T00:00:00"/>
    <s v="Northwest"/>
    <x v="5"/>
    <n v="24"/>
  </r>
  <r>
    <d v="2013-10-22T00:00:00"/>
    <s v="Southwest"/>
    <x v="1"/>
    <n v="353"/>
  </r>
  <r>
    <d v="2013-10-26T00:00:00"/>
    <s v="West"/>
    <x v="12"/>
    <n v="645"/>
  </r>
  <r>
    <d v="2013-10-26T00:00:00"/>
    <s v="Southwest"/>
    <x v="3"/>
    <n v="466"/>
  </r>
  <r>
    <d v="2013-10-22T00:00:00"/>
    <s v="West"/>
    <x v="1"/>
    <n v="37"/>
  </r>
  <r>
    <d v="2013-10-25T00:00:00"/>
    <s v="Northwest"/>
    <x v="6"/>
    <n v="367"/>
  </r>
  <r>
    <d v="2013-10-22T00:00:00"/>
    <s v="Southwest"/>
    <x v="5"/>
    <n v="295"/>
  </r>
  <r>
    <d v="2013-10-23T00:00:00"/>
    <s v="Southwest"/>
    <x v="12"/>
    <n v="178"/>
  </r>
  <r>
    <d v="2013-10-21T00:00:00"/>
    <s v="West"/>
    <x v="4"/>
    <n v="56"/>
  </r>
  <r>
    <d v="2013-10-26T00:00:00"/>
    <s v="West"/>
    <x v="5"/>
    <n v="227"/>
  </r>
  <r>
    <d v="2013-10-24T00:00:00"/>
    <s v="Southwest"/>
    <x v="12"/>
    <n v="215"/>
  </r>
  <r>
    <d v="2013-10-24T00:00:00"/>
    <s v="West"/>
    <x v="5"/>
    <n v="506"/>
  </r>
  <r>
    <d v="2013-10-26T00:00:00"/>
    <s v="Northwest"/>
    <x v="8"/>
    <n v="215"/>
  </r>
  <r>
    <d v="2013-10-20T00:00:00"/>
    <s v="Southwest"/>
    <x v="8"/>
    <n v="237"/>
  </r>
  <r>
    <d v="2013-10-22T00:00:00"/>
    <s v="West"/>
    <x v="8"/>
    <n v="296"/>
  </r>
  <r>
    <d v="2013-10-25T00:00:00"/>
    <s v="West"/>
    <x v="8"/>
    <n v="302"/>
  </r>
  <r>
    <d v="2013-10-23T00:00:00"/>
    <s v="Southwest"/>
    <x v="24"/>
    <n v="622"/>
  </r>
  <r>
    <d v="2013-10-21T00:00:00"/>
    <s v="West"/>
    <x v="8"/>
    <n v="312"/>
  </r>
  <r>
    <d v="2013-10-24T00:00:00"/>
    <s v="West"/>
    <x v="3"/>
    <n v="304"/>
  </r>
  <r>
    <d v="2013-10-23T00:00:00"/>
    <s v="Southwest"/>
    <x v="18"/>
    <n v="158"/>
  </r>
  <r>
    <d v="2013-10-25T00:00:00"/>
    <s v="West"/>
    <x v="23"/>
    <n v="569"/>
  </r>
  <r>
    <d v="2013-10-23T00:00:00"/>
    <s v="Northwest"/>
    <x v="4"/>
    <n v="545"/>
  </r>
  <r>
    <d v="2013-10-26T00:00:00"/>
    <s v="Southwest"/>
    <x v="3"/>
    <n v="111"/>
  </r>
  <r>
    <d v="2013-10-22T00:00:00"/>
    <s v="West"/>
    <x v="15"/>
    <n v="227"/>
  </r>
  <r>
    <d v="2013-10-21T00:00:00"/>
    <s v="Northwest"/>
    <x v="3"/>
    <n v="340"/>
  </r>
  <r>
    <d v="2013-10-25T00:00:00"/>
    <s v="West"/>
    <x v="4"/>
    <n v="123"/>
  </r>
  <r>
    <d v="2013-10-20T00:00:00"/>
    <s v="West"/>
    <x v="3"/>
    <n v="229"/>
  </r>
  <r>
    <d v="2013-10-24T00:00:00"/>
    <s v="Northwest"/>
    <x v="16"/>
    <n v="618"/>
  </r>
  <r>
    <d v="2013-10-24T00:00:00"/>
    <s v="Southwest"/>
    <x v="12"/>
    <n v="65"/>
  </r>
  <r>
    <d v="2013-10-21T00:00:00"/>
    <s v="West"/>
    <x v="6"/>
    <n v="19"/>
  </r>
  <r>
    <d v="2013-10-26T00:00:00"/>
    <s v="Southwest"/>
    <x v="16"/>
    <n v="72"/>
  </r>
  <r>
    <d v="2013-10-26T00:00:00"/>
    <s v="West"/>
    <x v="4"/>
    <n v="103"/>
  </r>
  <r>
    <d v="2013-10-25T00:00:00"/>
    <s v="West"/>
    <x v="6"/>
    <n v="658"/>
  </r>
  <r>
    <d v="2013-10-22T00:00:00"/>
    <s v="Southwest"/>
    <x v="15"/>
    <n v="523"/>
  </r>
  <r>
    <d v="2013-10-21T00:00:00"/>
    <s v="Northwest"/>
    <x v="8"/>
    <n v="338"/>
  </r>
  <r>
    <d v="2013-10-25T00:00:00"/>
    <s v="Northwest"/>
    <x v="3"/>
    <n v="33"/>
  </r>
  <r>
    <d v="2013-10-26T00:00:00"/>
    <s v="West"/>
    <x v="1"/>
    <n v="553"/>
  </r>
  <r>
    <d v="2013-10-25T00:00:00"/>
    <s v="Northwest"/>
    <x v="8"/>
    <n v="346"/>
  </r>
  <r>
    <d v="2013-10-22T00:00:00"/>
    <s v="Northwest"/>
    <x v="6"/>
    <n v="125"/>
  </r>
  <r>
    <d v="2013-10-21T00:00:00"/>
    <s v="West"/>
    <x v="6"/>
    <n v="241"/>
  </r>
  <r>
    <d v="2013-10-22T00:00:00"/>
    <s v="West"/>
    <x v="5"/>
    <n v="316"/>
  </r>
  <r>
    <d v="2013-10-20T00:00:00"/>
    <s v="Northwest"/>
    <x v="7"/>
    <n v="392"/>
  </r>
  <r>
    <d v="2013-10-26T00:00:00"/>
    <s v="West"/>
    <x v="7"/>
    <n v="644"/>
  </r>
  <r>
    <d v="2013-10-24T00:00:00"/>
    <s v="Northwest"/>
    <x v="15"/>
    <n v="259"/>
  </r>
  <r>
    <d v="2013-10-21T00:00:00"/>
    <s v="West"/>
    <x v="15"/>
    <n v="488"/>
  </r>
  <r>
    <d v="2013-10-22T00:00:00"/>
    <s v="Northwest"/>
    <x v="3"/>
    <n v="299"/>
  </r>
  <r>
    <d v="2013-10-21T00:00:00"/>
    <s v="Northwest"/>
    <x v="12"/>
    <n v="36"/>
  </r>
  <r>
    <d v="2013-10-22T00:00:00"/>
    <s v="Southwest"/>
    <x v="13"/>
    <n v="83"/>
  </r>
  <r>
    <d v="2013-10-25T00:00:00"/>
    <s v="Southwest"/>
    <x v="22"/>
    <n v="80"/>
  </r>
  <r>
    <d v="2013-10-22T00:00:00"/>
    <s v="Southwest"/>
    <x v="2"/>
    <n v="349"/>
  </r>
  <r>
    <d v="2013-10-22T00:00:00"/>
    <s v="West"/>
    <x v="6"/>
    <n v="342"/>
  </r>
  <r>
    <d v="2013-10-24T00:00:00"/>
    <s v="West"/>
    <x v="5"/>
    <n v="540"/>
  </r>
  <r>
    <d v="2013-10-22T00:00:00"/>
    <s v="Southwest"/>
    <x v="24"/>
    <n v="411"/>
  </r>
  <r>
    <d v="2013-10-21T00:00:00"/>
    <s v="West"/>
    <x v="17"/>
    <n v="632"/>
  </r>
  <r>
    <d v="2013-10-25T00:00:00"/>
    <s v="West"/>
    <x v="22"/>
    <n v="175"/>
  </r>
  <r>
    <d v="2013-10-21T00:00:00"/>
    <s v="Southwest"/>
    <x v="7"/>
    <n v="606"/>
  </r>
  <r>
    <d v="2013-10-21T00:00:00"/>
    <s v="Northwest"/>
    <x v="13"/>
    <n v="658"/>
  </r>
  <r>
    <d v="2013-10-25T00:00:00"/>
    <s v="Southwest"/>
    <x v="1"/>
    <n v="268"/>
  </r>
  <r>
    <d v="2013-10-20T00:00:00"/>
    <s v="Northwest"/>
    <x v="1"/>
    <n v="556"/>
  </r>
  <r>
    <d v="2013-10-22T00:00:00"/>
    <s v="Northwest"/>
    <x v="12"/>
    <n v="208"/>
  </r>
  <r>
    <d v="2013-10-25T00:00:00"/>
    <s v="Southwest"/>
    <x v="20"/>
    <n v="559"/>
  </r>
  <r>
    <d v="2013-10-26T00:00:00"/>
    <s v="Southwest"/>
    <x v="12"/>
    <n v="530"/>
  </r>
  <r>
    <d v="2013-10-25T00:00:00"/>
    <s v="Southwest"/>
    <x v="16"/>
    <n v="663"/>
  </r>
  <r>
    <d v="2013-10-21T00:00:00"/>
    <s v="Northwest"/>
    <x v="12"/>
    <n v="31"/>
  </r>
  <r>
    <d v="2013-10-20T00:00:00"/>
    <s v="West"/>
    <x v="4"/>
    <n v="587"/>
  </r>
  <r>
    <d v="2013-10-23T00:00:00"/>
    <s v="Southwest"/>
    <x v="8"/>
    <n v="280"/>
  </r>
  <r>
    <d v="2013-10-20T00:00:00"/>
    <s v="Northwest"/>
    <x v="4"/>
    <n v="488"/>
  </r>
  <r>
    <d v="2013-10-25T00:00:00"/>
    <s v="Southwest"/>
    <x v="2"/>
    <n v="609"/>
  </r>
  <r>
    <d v="2013-10-26T00:00:00"/>
    <s v="Northwest"/>
    <x v="5"/>
    <n v="375"/>
  </r>
  <r>
    <d v="2013-10-25T00:00:00"/>
    <s v="Northwest"/>
    <x v="8"/>
    <n v="474"/>
  </r>
  <r>
    <d v="2013-10-23T00:00:00"/>
    <s v="Southwest"/>
    <x v="17"/>
    <n v="323"/>
  </r>
  <r>
    <d v="2013-10-26T00:00:00"/>
    <s v="Southwest"/>
    <x v="18"/>
    <n v="650"/>
  </r>
  <r>
    <d v="2013-10-21T00:00:00"/>
    <s v="Northwest"/>
    <x v="5"/>
    <n v="505"/>
  </r>
  <r>
    <d v="2013-10-20T00:00:00"/>
    <s v="Southwest"/>
    <x v="3"/>
    <n v="114"/>
  </r>
  <r>
    <d v="2013-10-20T00:00:00"/>
    <s v="Southwest"/>
    <x v="16"/>
    <n v="483"/>
  </r>
  <r>
    <d v="2013-10-22T00:00:00"/>
    <s v="West"/>
    <x v="6"/>
    <n v="444"/>
  </r>
  <r>
    <d v="2013-10-26T00:00:00"/>
    <s v="Southwest"/>
    <x v="6"/>
    <n v="642"/>
  </r>
  <r>
    <d v="2013-10-22T00:00:00"/>
    <s v="Southwest"/>
    <x v="16"/>
    <n v="241"/>
  </r>
  <r>
    <d v="2013-10-24T00:00:00"/>
    <s v="Southwest"/>
    <x v="10"/>
    <n v="444"/>
  </r>
  <r>
    <d v="2013-10-23T00:00:00"/>
    <s v="Northwest"/>
    <x v="6"/>
    <n v="270"/>
  </r>
  <r>
    <d v="2013-10-23T00:00:00"/>
    <s v="Northwest"/>
    <x v="1"/>
    <n v="608"/>
  </r>
  <r>
    <d v="2013-10-26T00:00:00"/>
    <s v="West"/>
    <x v="8"/>
    <n v="498"/>
  </r>
  <r>
    <d v="2013-10-21T00:00:00"/>
    <s v="Northwest"/>
    <x v="5"/>
    <n v="100"/>
  </r>
  <r>
    <d v="2013-10-22T00:00:00"/>
    <s v="Northwest"/>
    <x v="8"/>
    <n v="379"/>
  </r>
  <r>
    <d v="2013-10-22T00:00:00"/>
    <s v="Southwest"/>
    <x v="1"/>
    <n v="332"/>
  </r>
  <r>
    <d v="2013-10-26T00:00:00"/>
    <s v="Northwest"/>
    <x v="13"/>
    <n v="13"/>
  </r>
  <r>
    <d v="2013-10-26T00:00:00"/>
    <s v="Southwest"/>
    <x v="17"/>
    <n v="456"/>
  </r>
  <r>
    <d v="2013-10-21T00:00:00"/>
    <s v="Southwest"/>
    <x v="12"/>
    <n v="249"/>
  </r>
  <r>
    <d v="2013-10-26T00:00:00"/>
    <s v="West"/>
    <x v="13"/>
    <n v="324"/>
  </r>
  <r>
    <d v="2013-10-22T00:00:00"/>
    <s v="West"/>
    <x v="21"/>
    <n v="423"/>
  </r>
  <r>
    <d v="2013-10-20T00:00:00"/>
    <s v="West"/>
    <x v="7"/>
    <n v="220"/>
  </r>
  <r>
    <d v="2013-10-20T00:00:00"/>
    <s v="Southwest"/>
    <x v="1"/>
    <n v="47"/>
  </r>
  <r>
    <d v="2013-10-20T00:00:00"/>
    <s v="West"/>
    <x v="8"/>
    <n v="651"/>
  </r>
  <r>
    <d v="2013-10-21T00:00:00"/>
    <s v="West"/>
    <x v="1"/>
    <n v="89"/>
  </r>
  <r>
    <d v="2013-10-23T00:00:00"/>
    <s v="Southwest"/>
    <x v="5"/>
    <n v="590"/>
  </r>
  <r>
    <d v="2013-10-24T00:00:00"/>
    <s v="Northwest"/>
    <x v="8"/>
    <n v="681"/>
  </r>
  <r>
    <d v="2013-10-20T00:00:00"/>
    <s v="Northwest"/>
    <x v="4"/>
    <n v="538"/>
  </r>
  <r>
    <d v="2013-10-20T00:00:00"/>
    <s v="West"/>
    <x v="24"/>
    <n v="562"/>
  </r>
  <r>
    <d v="2013-10-24T00:00:00"/>
    <s v="Northwest"/>
    <x v="18"/>
    <n v="97"/>
  </r>
  <r>
    <d v="2013-10-22T00:00:00"/>
    <s v="Southwest"/>
    <x v="15"/>
    <n v="583"/>
  </r>
  <r>
    <d v="2013-10-25T00:00:00"/>
    <s v="Northwest"/>
    <x v="5"/>
    <n v="268"/>
  </r>
  <r>
    <d v="2013-10-26T00:00:00"/>
    <s v="Northwest"/>
    <x v="17"/>
    <n v="443"/>
  </r>
  <r>
    <d v="2013-10-26T00:00:00"/>
    <s v="West"/>
    <x v="19"/>
    <n v="455"/>
  </r>
  <r>
    <d v="2013-10-23T00:00:00"/>
    <s v="Southwest"/>
    <x v="0"/>
    <n v="663"/>
  </r>
  <r>
    <d v="2013-10-22T00:00:00"/>
    <s v="West"/>
    <x v="13"/>
    <n v="518"/>
  </r>
  <r>
    <d v="2013-10-25T00:00:00"/>
    <s v="West"/>
    <x v="11"/>
    <n v="621"/>
  </r>
  <r>
    <d v="2013-10-21T00:00:00"/>
    <s v="Northwest"/>
    <x v="13"/>
    <n v="645"/>
  </r>
  <r>
    <d v="2013-10-21T00:00:00"/>
    <s v="Southwest"/>
    <x v="13"/>
    <n v="131"/>
  </r>
  <r>
    <d v="2013-10-24T00:00:00"/>
    <s v="Southwest"/>
    <x v="1"/>
    <n v="130"/>
  </r>
  <r>
    <d v="2013-10-26T00:00:00"/>
    <s v="West"/>
    <x v="14"/>
    <n v="415"/>
  </r>
  <r>
    <d v="2013-10-23T00:00:00"/>
    <s v="Southwest"/>
    <x v="8"/>
    <n v="119"/>
  </r>
  <r>
    <d v="2013-10-22T00:00:00"/>
    <s v="Southwest"/>
    <x v="1"/>
    <n v="307"/>
  </r>
  <r>
    <d v="2013-10-21T00:00:00"/>
    <s v="Southwest"/>
    <x v="16"/>
    <n v="472"/>
  </r>
  <r>
    <d v="2013-10-24T00:00:00"/>
    <s v="Southwest"/>
    <x v="4"/>
    <n v="136"/>
  </r>
  <r>
    <d v="2013-10-21T00:00:00"/>
    <s v="Northwest"/>
    <x v="13"/>
    <n v="586"/>
  </r>
  <r>
    <d v="2013-10-22T00:00:00"/>
    <s v="West"/>
    <x v="13"/>
    <n v="215"/>
  </r>
  <r>
    <d v="2013-10-22T00:00:00"/>
    <s v="Northwest"/>
    <x v="5"/>
    <n v="562"/>
  </r>
  <r>
    <d v="2013-10-21T00:00:00"/>
    <s v="Southwest"/>
    <x v="22"/>
    <n v="662"/>
  </r>
  <r>
    <d v="2013-10-23T00:00:00"/>
    <s v="Southwest"/>
    <x v="8"/>
    <n v="419"/>
  </r>
  <r>
    <d v="2013-10-24T00:00:00"/>
    <s v="West"/>
    <x v="15"/>
    <n v="508"/>
  </r>
  <r>
    <d v="2013-10-23T00:00:00"/>
    <s v="Southwest"/>
    <x v="13"/>
    <n v="170"/>
  </r>
  <r>
    <d v="2013-10-20T00:00:00"/>
    <s v="Southwest"/>
    <x v="21"/>
    <n v="586"/>
  </r>
  <r>
    <d v="2013-10-24T00:00:00"/>
    <s v="Southwest"/>
    <x v="2"/>
    <n v="219"/>
  </r>
  <r>
    <d v="2013-10-24T00:00:00"/>
    <s v="Southwest"/>
    <x v="3"/>
    <n v="339"/>
  </r>
  <r>
    <d v="2013-10-24T00:00:00"/>
    <s v="Southwest"/>
    <x v="18"/>
    <n v="198"/>
  </r>
  <r>
    <d v="2013-10-23T00:00:00"/>
    <s v="Northwest"/>
    <x v="4"/>
    <n v="674"/>
  </r>
  <r>
    <d v="2013-10-21T00:00:00"/>
    <s v="Northwest"/>
    <x v="1"/>
    <n v="399"/>
  </r>
  <r>
    <d v="2013-10-22T00:00:00"/>
    <s v="Northwest"/>
    <x v="4"/>
    <n v="615"/>
  </r>
  <r>
    <d v="2013-10-21T00:00:00"/>
    <s v="Northwest"/>
    <x v="8"/>
    <n v="107"/>
  </r>
  <r>
    <d v="2013-10-24T00:00:00"/>
    <s v="Northwest"/>
    <x v="17"/>
    <n v="199"/>
  </r>
  <r>
    <d v="2013-10-25T00:00:00"/>
    <s v="West"/>
    <x v="3"/>
    <n v="23"/>
  </r>
  <r>
    <d v="2013-10-20T00:00:00"/>
    <s v="Southwest"/>
    <x v="5"/>
    <n v="297"/>
  </r>
  <r>
    <d v="2013-10-20T00:00:00"/>
    <s v="Northwest"/>
    <x v="3"/>
    <n v="273"/>
  </r>
  <r>
    <d v="2013-10-26T00:00:00"/>
    <s v="West"/>
    <x v="17"/>
    <n v="281"/>
  </r>
  <r>
    <d v="2013-10-22T00:00:00"/>
    <s v="Southwest"/>
    <x v="3"/>
    <n v="227"/>
  </r>
  <r>
    <d v="2013-10-26T00:00:00"/>
    <s v="Northwest"/>
    <x v="2"/>
    <n v="156"/>
  </r>
  <r>
    <d v="2013-10-25T00:00:00"/>
    <s v="Southwest"/>
    <x v="3"/>
    <n v="534"/>
  </r>
  <r>
    <d v="2013-10-22T00:00:00"/>
    <s v="Southwest"/>
    <x v="1"/>
    <n v="459"/>
  </r>
  <r>
    <d v="2013-10-21T00:00:00"/>
    <s v="Southwest"/>
    <x v="2"/>
    <n v="131"/>
  </r>
  <r>
    <d v="2013-10-20T00:00:00"/>
    <s v="West"/>
    <x v="2"/>
    <n v="339"/>
  </r>
  <r>
    <d v="2013-10-21T00:00:00"/>
    <s v="Northwest"/>
    <x v="22"/>
    <n v="634"/>
  </r>
  <r>
    <d v="2013-10-21T00:00:00"/>
    <s v="Northwest"/>
    <x v="4"/>
    <n v="450"/>
  </r>
  <r>
    <d v="2013-10-25T00:00:00"/>
    <s v="West"/>
    <x v="23"/>
    <n v="65"/>
  </r>
  <r>
    <d v="2013-10-26T00:00:00"/>
    <s v="Southwest"/>
    <x v="12"/>
    <n v="530"/>
  </r>
  <r>
    <d v="2013-10-22T00:00:00"/>
    <s v="Southwest"/>
    <x v="4"/>
    <n v="74"/>
  </r>
  <r>
    <d v="2013-10-26T00:00:00"/>
    <s v="Southwest"/>
    <x v="20"/>
    <n v="93"/>
  </r>
  <r>
    <d v="2013-10-21T00:00:00"/>
    <s v="Northwest"/>
    <x v="24"/>
    <n v="337"/>
  </r>
  <r>
    <d v="2013-10-20T00:00:00"/>
    <s v="Northwest"/>
    <x v="13"/>
    <n v="583"/>
  </r>
  <r>
    <d v="2013-10-23T00:00:00"/>
    <s v="West"/>
    <x v="2"/>
    <n v="374"/>
  </r>
  <r>
    <d v="2013-10-22T00:00:00"/>
    <s v="Northwest"/>
    <x v="1"/>
    <n v="243"/>
  </r>
  <r>
    <d v="2013-10-21T00:00:00"/>
    <s v="West"/>
    <x v="7"/>
    <n v="225"/>
  </r>
  <r>
    <d v="2013-10-26T00:00:00"/>
    <s v="Southwest"/>
    <x v="8"/>
    <n v="160"/>
  </r>
  <r>
    <d v="2013-10-21T00:00:00"/>
    <s v="West"/>
    <x v="12"/>
    <n v="502"/>
  </r>
  <r>
    <d v="2013-10-25T00:00:00"/>
    <s v="Northwest"/>
    <x v="3"/>
    <n v="221"/>
  </r>
  <r>
    <d v="2013-10-21T00:00:00"/>
    <s v="Southwest"/>
    <x v="14"/>
    <n v="516"/>
  </r>
  <r>
    <d v="2013-10-26T00:00:00"/>
    <s v="West"/>
    <x v="8"/>
    <n v="678"/>
  </r>
  <r>
    <d v="2013-10-22T00:00:00"/>
    <s v="Northwest"/>
    <x v="6"/>
    <n v="637"/>
  </r>
  <r>
    <d v="2013-10-21T00:00:00"/>
    <s v="Northwest"/>
    <x v="8"/>
    <n v="525"/>
  </r>
  <r>
    <d v="2013-10-25T00:00:00"/>
    <s v="Southwest"/>
    <x v="6"/>
    <n v="540"/>
  </r>
  <r>
    <d v="2013-10-23T00:00:00"/>
    <s v="West"/>
    <x v="1"/>
    <n v="245"/>
  </r>
  <r>
    <d v="2013-10-20T00:00:00"/>
    <s v="Northwest"/>
    <x v="6"/>
    <n v="290"/>
  </r>
  <r>
    <d v="2013-10-21T00:00:00"/>
    <s v="Southwest"/>
    <x v="3"/>
    <n v="376"/>
  </r>
  <r>
    <d v="2013-10-22T00:00:00"/>
    <s v="Southwest"/>
    <x v="1"/>
    <n v="226"/>
  </r>
  <r>
    <d v="2013-10-26T00:00:00"/>
    <s v="Northwest"/>
    <x v="2"/>
    <n v="38"/>
  </r>
  <r>
    <d v="2013-10-23T00:00:00"/>
    <s v="Northwest"/>
    <x v="5"/>
    <n v="283"/>
  </r>
  <r>
    <d v="2013-10-21T00:00:00"/>
    <s v="West"/>
    <x v="4"/>
    <n v="480"/>
  </r>
  <r>
    <d v="2013-10-21T00:00:00"/>
    <s v="West"/>
    <x v="9"/>
    <n v="482"/>
  </r>
  <r>
    <d v="2013-10-26T00:00:00"/>
    <s v="Southwest"/>
    <x v="1"/>
    <n v="37"/>
  </r>
  <r>
    <d v="2013-10-23T00:00:00"/>
    <s v="Southwest"/>
    <x v="12"/>
    <n v="279"/>
  </r>
  <r>
    <d v="2013-10-23T00:00:00"/>
    <s v="West"/>
    <x v="13"/>
    <n v="152"/>
  </r>
  <r>
    <d v="2013-10-20T00:00:00"/>
    <s v="Northwest"/>
    <x v="22"/>
    <n v="419"/>
  </r>
  <r>
    <d v="2013-10-23T00:00:00"/>
    <s v="West"/>
    <x v="16"/>
    <n v="652"/>
  </r>
  <r>
    <d v="2013-10-21T00:00:00"/>
    <s v="Southwest"/>
    <x v="3"/>
    <n v="151"/>
  </r>
  <r>
    <d v="2013-10-20T00:00:00"/>
    <s v="Northwest"/>
    <x v="4"/>
    <n v="99"/>
  </r>
  <r>
    <d v="2013-10-25T00:00:00"/>
    <s v="Northwest"/>
    <x v="6"/>
    <n v="432"/>
  </r>
  <r>
    <d v="2013-10-21T00:00:00"/>
    <s v="Northwest"/>
    <x v="4"/>
    <n v="174"/>
  </r>
  <r>
    <d v="2013-10-23T00:00:00"/>
    <s v="Northwest"/>
    <x v="24"/>
    <n v="209"/>
  </r>
  <r>
    <d v="2013-10-23T00:00:00"/>
    <s v="Northwest"/>
    <x v="6"/>
    <n v="261"/>
  </r>
  <r>
    <d v="2013-10-26T00:00:00"/>
    <s v="Southwest"/>
    <x v="6"/>
    <n v="633"/>
  </r>
  <r>
    <d v="2013-10-26T00:00:00"/>
    <s v="West"/>
    <x v="12"/>
    <n v="308"/>
  </r>
  <r>
    <d v="2013-10-26T00:00:00"/>
    <s v="West"/>
    <x v="6"/>
    <n v="319"/>
  </r>
  <r>
    <d v="2013-10-20T00:00:00"/>
    <s v="West"/>
    <x v="22"/>
    <n v="400"/>
  </r>
  <r>
    <d v="2013-10-24T00:00:00"/>
    <s v="West"/>
    <x v="15"/>
    <n v="20"/>
  </r>
  <r>
    <d v="2013-10-26T00:00:00"/>
    <s v="Northwest"/>
    <x v="2"/>
    <n v="151"/>
  </r>
  <r>
    <d v="2013-10-21T00:00:00"/>
    <s v="Southwest"/>
    <x v="15"/>
    <n v="345"/>
  </r>
  <r>
    <d v="2013-10-24T00:00:00"/>
    <s v="Southwest"/>
    <x v="12"/>
    <n v="78"/>
  </r>
  <r>
    <d v="2013-10-23T00:00:00"/>
    <s v="West"/>
    <x v="4"/>
    <n v="81"/>
  </r>
  <r>
    <d v="2013-10-23T00:00:00"/>
    <s v="West"/>
    <x v="5"/>
    <n v="563"/>
  </r>
  <r>
    <d v="2013-10-20T00:00:00"/>
    <s v="Southwest"/>
    <x v="5"/>
    <n v="344"/>
  </r>
  <r>
    <d v="2013-10-23T00:00:00"/>
    <s v="West"/>
    <x v="6"/>
    <n v="103"/>
  </r>
  <r>
    <d v="2013-10-20T00:00:00"/>
    <s v="Southwest"/>
    <x v="12"/>
    <n v="378"/>
  </r>
  <r>
    <d v="2013-10-26T00:00:00"/>
    <s v="West"/>
    <x v="6"/>
    <n v="546"/>
  </r>
  <r>
    <d v="2013-10-23T00:00:00"/>
    <s v="West"/>
    <x v="2"/>
    <n v="649"/>
  </r>
  <r>
    <d v="2013-10-21T00:00:00"/>
    <s v="Northwest"/>
    <x v="5"/>
    <n v="387"/>
  </r>
  <r>
    <d v="2013-10-20T00:00:00"/>
    <s v="West"/>
    <x v="1"/>
    <n v="468"/>
  </r>
  <r>
    <d v="2013-10-22T00:00:00"/>
    <s v="Southwest"/>
    <x v="12"/>
    <n v="36"/>
  </r>
  <r>
    <d v="2013-10-23T00:00:00"/>
    <s v="Southwest"/>
    <x v="17"/>
    <n v="576"/>
  </r>
  <r>
    <d v="2013-10-24T00:00:00"/>
    <s v="Northwest"/>
    <x v="2"/>
    <n v="304"/>
  </r>
  <r>
    <d v="2013-10-23T00:00:00"/>
    <s v="Northwest"/>
    <x v="15"/>
    <n v="648"/>
  </r>
  <r>
    <d v="2013-10-21T00:00:00"/>
    <s v="Southwest"/>
    <x v="17"/>
    <n v="624"/>
  </r>
  <r>
    <d v="2013-10-23T00:00:00"/>
    <s v="Southwest"/>
    <x v="5"/>
    <n v="199"/>
  </r>
  <r>
    <d v="2013-10-22T00:00:00"/>
    <s v="West"/>
    <x v="13"/>
    <n v="21"/>
  </r>
  <r>
    <d v="2013-10-23T00:00:00"/>
    <s v="Northwest"/>
    <x v="19"/>
    <n v="173"/>
  </r>
  <r>
    <d v="2013-10-23T00:00:00"/>
    <s v="Northwest"/>
    <x v="4"/>
    <n v="149"/>
  </r>
  <r>
    <d v="2013-10-24T00:00:00"/>
    <s v="West"/>
    <x v="2"/>
    <n v="294"/>
  </r>
  <r>
    <d v="2013-10-20T00:00:00"/>
    <s v="Southwest"/>
    <x v="3"/>
    <n v="225"/>
  </r>
  <r>
    <d v="2013-10-22T00:00:00"/>
    <s v="Southwest"/>
    <x v="21"/>
    <n v="276"/>
  </r>
  <r>
    <d v="2013-10-22T00:00:00"/>
    <s v="Northwest"/>
    <x v="8"/>
    <n v="666"/>
  </r>
  <r>
    <d v="2013-10-23T00:00:00"/>
    <s v="West"/>
    <x v="0"/>
    <n v="616"/>
  </r>
  <r>
    <d v="2013-10-21T00:00:00"/>
    <s v="Northwest"/>
    <x v="2"/>
    <n v="307"/>
  </r>
  <r>
    <d v="2013-10-23T00:00:00"/>
    <s v="Southwest"/>
    <x v="4"/>
    <n v="140"/>
  </r>
  <r>
    <d v="2013-10-24T00:00:00"/>
    <s v="West"/>
    <x v="2"/>
    <n v="632"/>
  </r>
  <r>
    <d v="2013-10-25T00:00:00"/>
    <s v="West"/>
    <x v="6"/>
    <n v="461"/>
  </r>
  <r>
    <d v="2013-10-21T00:00:00"/>
    <s v="West"/>
    <x v="12"/>
    <n v="656"/>
  </r>
  <r>
    <d v="2013-10-22T00:00:00"/>
    <s v="West"/>
    <x v="15"/>
    <n v="158"/>
  </r>
  <r>
    <d v="2013-10-23T00:00:00"/>
    <s v="Northwest"/>
    <x v="13"/>
    <n v="663"/>
  </r>
  <r>
    <d v="2013-10-24T00:00:00"/>
    <s v="Southwest"/>
    <x v="1"/>
    <n v="555"/>
  </r>
  <r>
    <d v="2013-10-23T00:00:00"/>
    <s v="West"/>
    <x v="10"/>
    <n v="489"/>
  </r>
  <r>
    <d v="2013-10-22T00:00:00"/>
    <s v="West"/>
    <x v="1"/>
    <n v="212"/>
  </r>
  <r>
    <d v="2013-10-20T00:00:00"/>
    <s v="Southwest"/>
    <x v="0"/>
    <n v="411"/>
  </r>
  <r>
    <d v="2013-10-23T00:00:00"/>
    <s v="Northwest"/>
    <x v="2"/>
    <n v="343"/>
  </r>
  <r>
    <d v="2013-10-22T00:00:00"/>
    <s v="West"/>
    <x v="13"/>
    <n v="629"/>
  </r>
  <r>
    <d v="2013-10-21T00:00:00"/>
    <s v="Northwest"/>
    <x v="14"/>
    <n v="247"/>
  </r>
  <r>
    <d v="2013-10-25T00:00:00"/>
    <s v="Southwest"/>
    <x v="8"/>
    <n v="180"/>
  </r>
  <r>
    <d v="2013-10-25T00:00:00"/>
    <s v="Southwest"/>
    <x v="16"/>
    <n v="374"/>
  </r>
  <r>
    <d v="2013-10-22T00:00:00"/>
    <s v="West"/>
    <x v="14"/>
    <n v="672"/>
  </r>
  <r>
    <d v="2013-10-25T00:00:00"/>
    <s v="Southwest"/>
    <x v="5"/>
    <n v="484"/>
  </r>
  <r>
    <d v="2013-10-26T00:00:00"/>
    <s v="Southwest"/>
    <x v="1"/>
    <n v="77"/>
  </r>
  <r>
    <d v="2013-10-26T00:00:00"/>
    <s v="West"/>
    <x v="9"/>
    <n v="315"/>
  </r>
  <r>
    <d v="2013-10-23T00:00:00"/>
    <s v="Southwest"/>
    <x v="3"/>
    <n v="462"/>
  </r>
  <r>
    <d v="2013-10-22T00:00:00"/>
    <s v="Southwest"/>
    <x v="8"/>
    <n v="470"/>
  </r>
  <r>
    <d v="2013-10-20T00:00:00"/>
    <s v="West"/>
    <x v="5"/>
    <n v="102"/>
  </r>
  <r>
    <d v="2013-10-20T00:00:00"/>
    <s v="West"/>
    <x v="17"/>
    <n v="161"/>
  </r>
  <r>
    <d v="2013-10-21T00:00:00"/>
    <s v="Northwest"/>
    <x v="16"/>
    <n v="651"/>
  </r>
  <r>
    <d v="2013-10-21T00:00:00"/>
    <s v="Northwest"/>
    <x v="12"/>
    <n v="28"/>
  </r>
  <r>
    <d v="2013-10-26T00:00:00"/>
    <s v="Northwest"/>
    <x v="3"/>
    <n v="222"/>
  </r>
  <r>
    <d v="2013-10-25T00:00:00"/>
    <s v="West"/>
    <x v="8"/>
    <n v="399"/>
  </r>
  <r>
    <d v="2013-10-22T00:00:00"/>
    <s v="Northwest"/>
    <x v="23"/>
    <n v="570"/>
  </r>
  <r>
    <d v="2013-10-25T00:00:00"/>
    <s v="West"/>
    <x v="9"/>
    <n v="119"/>
  </r>
  <r>
    <d v="2013-10-24T00:00:00"/>
    <s v="Northwest"/>
    <x v="12"/>
    <n v="219"/>
  </r>
  <r>
    <d v="2013-10-24T00:00:00"/>
    <s v="West"/>
    <x v="2"/>
    <n v="466"/>
  </r>
  <r>
    <d v="2013-10-22T00:00:00"/>
    <s v="Southwest"/>
    <x v="1"/>
    <n v="225"/>
  </r>
  <r>
    <d v="2013-10-21T00:00:00"/>
    <s v="West"/>
    <x v="14"/>
    <n v="293"/>
  </r>
  <r>
    <d v="2013-10-23T00:00:00"/>
    <s v="Southwest"/>
    <x v="13"/>
    <n v="217"/>
  </r>
  <r>
    <d v="2013-10-25T00:00:00"/>
    <s v="Northwest"/>
    <x v="2"/>
    <n v="547"/>
  </r>
  <r>
    <d v="2013-10-25T00:00:00"/>
    <s v="Northwest"/>
    <x v="6"/>
    <n v="449"/>
  </r>
  <r>
    <d v="2013-10-26T00:00:00"/>
    <s v="West"/>
    <x v="4"/>
    <n v="185"/>
  </r>
  <r>
    <d v="2013-10-26T00:00:00"/>
    <s v="Northwest"/>
    <x v="6"/>
    <n v="579"/>
  </r>
  <r>
    <d v="2013-10-21T00:00:00"/>
    <s v="Northwest"/>
    <x v="2"/>
    <n v="675"/>
  </r>
  <r>
    <d v="2013-10-23T00:00:00"/>
    <s v="Southwest"/>
    <x v="2"/>
    <n v="239"/>
  </r>
  <r>
    <d v="2013-10-22T00:00:00"/>
    <s v="Northwest"/>
    <x v="5"/>
    <n v="152"/>
  </r>
  <r>
    <d v="2013-10-24T00:00:00"/>
    <s v="Northwest"/>
    <x v="2"/>
    <n v="210"/>
  </r>
  <r>
    <d v="2013-10-25T00:00:00"/>
    <s v="Southwest"/>
    <x v="23"/>
    <n v="573"/>
  </r>
  <r>
    <d v="2013-10-26T00:00:00"/>
    <s v="West"/>
    <x v="2"/>
    <n v="19"/>
  </r>
  <r>
    <d v="2013-10-21T00:00:00"/>
    <s v="Southwest"/>
    <x v="7"/>
    <n v="478"/>
  </r>
  <r>
    <d v="2013-10-21T00:00:00"/>
    <s v="Northwest"/>
    <x v="3"/>
    <n v="565"/>
  </r>
  <r>
    <d v="2013-10-24T00:00:00"/>
    <s v="Southwest"/>
    <x v="13"/>
    <n v="169"/>
  </r>
  <r>
    <d v="2013-10-24T00:00:00"/>
    <s v="Northwest"/>
    <x v="1"/>
    <n v="329"/>
  </r>
  <r>
    <d v="2013-10-24T00:00:00"/>
    <s v="Southwest"/>
    <x v="6"/>
    <n v="115"/>
  </r>
  <r>
    <d v="2013-10-20T00:00:00"/>
    <s v="Northwest"/>
    <x v="12"/>
    <n v="524"/>
  </r>
  <r>
    <d v="2013-10-26T00:00:00"/>
    <s v="Southwest"/>
    <x v="12"/>
    <n v="550"/>
  </r>
  <r>
    <d v="2013-10-22T00:00:00"/>
    <s v="Southwest"/>
    <x v="8"/>
    <n v="514"/>
  </r>
  <r>
    <d v="2013-10-20T00:00:00"/>
    <s v="Southwest"/>
    <x v="2"/>
    <n v="223"/>
  </r>
  <r>
    <d v="2013-10-25T00:00:00"/>
    <s v="Southwest"/>
    <x v="5"/>
    <n v="667"/>
  </r>
  <r>
    <d v="2013-10-20T00:00:00"/>
    <s v="Southwest"/>
    <x v="3"/>
    <n v="314"/>
  </r>
  <r>
    <d v="2013-10-26T00:00:00"/>
    <s v="Northwest"/>
    <x v="7"/>
    <n v="228"/>
  </r>
  <r>
    <d v="2013-10-22T00:00:00"/>
    <s v="Northwest"/>
    <x v="0"/>
    <n v="193"/>
  </r>
  <r>
    <d v="2013-10-26T00:00:00"/>
    <s v="West"/>
    <x v="6"/>
    <n v="509"/>
  </r>
  <r>
    <d v="2013-10-21T00:00:00"/>
    <s v="Northwest"/>
    <x v="11"/>
    <n v="529"/>
  </r>
  <r>
    <d v="2013-10-26T00:00:00"/>
    <s v="Northwest"/>
    <x v="7"/>
    <n v="416"/>
  </r>
  <r>
    <d v="2013-10-22T00:00:00"/>
    <s v="West"/>
    <x v="9"/>
    <n v="532"/>
  </r>
  <r>
    <d v="2013-10-22T00:00:00"/>
    <s v="West"/>
    <x v="3"/>
    <n v="639"/>
  </r>
  <r>
    <d v="2013-10-22T00:00:00"/>
    <s v="Southwest"/>
    <x v="22"/>
    <n v="115"/>
  </r>
  <r>
    <d v="2013-10-20T00:00:00"/>
    <s v="West"/>
    <x v="2"/>
    <n v="145"/>
  </r>
  <r>
    <d v="2013-10-26T00:00:00"/>
    <s v="Northwest"/>
    <x v="22"/>
    <n v="349"/>
  </r>
  <r>
    <d v="2013-10-24T00:00:00"/>
    <s v="Northwest"/>
    <x v="13"/>
    <n v="98"/>
  </r>
  <r>
    <d v="2013-10-24T00:00:00"/>
    <s v="Southwest"/>
    <x v="0"/>
    <n v="342"/>
  </r>
  <r>
    <d v="2013-10-20T00:00:00"/>
    <s v="Southwest"/>
    <x v="2"/>
    <n v="23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d v="2017-11-02T00:00:00"/>
    <x v="0"/>
    <n v="181"/>
  </r>
  <r>
    <d v="2017-11-04T00:00:00"/>
    <x v="1"/>
    <n v="155"/>
  </r>
  <r>
    <d v="2017-11-05T00:00:00"/>
    <x v="1"/>
    <n v="56"/>
  </r>
  <r>
    <d v="2017-11-05T00:00:00"/>
    <x v="1"/>
    <n v="127"/>
  </r>
  <r>
    <d v="2017-11-07T00:00:00"/>
    <x v="2"/>
    <n v="159"/>
  </r>
  <r>
    <d v="2017-11-07T00:00:00"/>
    <x v="0"/>
    <n v="100"/>
  </r>
  <r>
    <d v="2017-11-03T00:00:00"/>
    <x v="3"/>
    <n v="151"/>
  </r>
  <r>
    <d v="2017-11-02T00:00:00"/>
    <x v="1"/>
    <n v="163"/>
  </r>
  <r>
    <d v="2017-11-06T00:00:00"/>
    <x v="1"/>
    <n v="84"/>
  </r>
  <r>
    <d v="2017-11-06T00:00:00"/>
    <x v="1"/>
    <n v="191"/>
  </r>
  <r>
    <d v="2017-11-01T00:00:00"/>
    <x v="2"/>
    <n v="78"/>
  </r>
  <r>
    <d v="2017-11-04T00:00:00"/>
    <x v="0"/>
    <n v="8"/>
  </r>
  <r>
    <d v="2017-11-07T00:00:00"/>
    <x v="2"/>
    <n v="15"/>
  </r>
  <r>
    <d v="2017-11-01T00:00:00"/>
    <x v="2"/>
    <n v="157"/>
  </r>
  <r>
    <d v="2017-11-02T00:00:00"/>
    <x v="1"/>
    <n v="100"/>
  </r>
  <r>
    <d v="2017-11-01T00:00:00"/>
    <x v="1"/>
    <n v="9"/>
  </r>
  <r>
    <d v="2017-11-04T00:00:00"/>
    <x v="0"/>
    <n v="180"/>
  </r>
  <r>
    <d v="2017-11-08T00:00:00"/>
    <x v="0"/>
    <n v="3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2">
  <r>
    <d v="2013-10-21T00:00:00"/>
    <s v="West"/>
    <x v="0"/>
    <x v="0"/>
  </r>
  <r>
    <d v="2013-10-25T00:00:00"/>
    <s v="West"/>
    <x v="1"/>
    <x v="1"/>
  </r>
  <r>
    <d v="2013-10-26T00:00:00"/>
    <s v="West"/>
    <x v="2"/>
    <x v="2"/>
  </r>
  <r>
    <d v="2013-10-23T00:00:00"/>
    <s v="Northwest"/>
    <x v="3"/>
    <x v="3"/>
  </r>
  <r>
    <d v="2013-10-20T00:00:00"/>
    <s v="Northwest"/>
    <x v="3"/>
    <x v="4"/>
  </r>
  <r>
    <d v="2013-10-23T00:00:00"/>
    <s v="Southwest"/>
    <x v="4"/>
    <x v="5"/>
  </r>
  <r>
    <d v="2013-10-21T00:00:00"/>
    <s v="West"/>
    <x v="5"/>
    <x v="6"/>
  </r>
  <r>
    <d v="2013-10-25T00:00:00"/>
    <s v="Southwest"/>
    <x v="1"/>
    <x v="7"/>
  </r>
  <r>
    <d v="2013-10-20T00:00:00"/>
    <s v="West"/>
    <x v="4"/>
    <x v="8"/>
  </r>
  <r>
    <d v="2013-10-21T00:00:00"/>
    <s v="Southwest"/>
    <x v="1"/>
    <x v="9"/>
  </r>
  <r>
    <d v="2013-10-25T00:00:00"/>
    <s v="Southwest"/>
    <x v="6"/>
    <x v="10"/>
  </r>
  <r>
    <d v="2013-10-22T00:00:00"/>
    <s v="Northwest"/>
    <x v="4"/>
    <x v="11"/>
  </r>
  <r>
    <d v="2013-10-23T00:00:00"/>
    <s v="West"/>
    <x v="7"/>
    <x v="12"/>
  </r>
  <r>
    <d v="2013-10-21T00:00:00"/>
    <s v="Northwest"/>
    <x v="6"/>
    <x v="13"/>
  </r>
  <r>
    <d v="2013-10-25T00:00:00"/>
    <s v="Southwest"/>
    <x v="8"/>
    <x v="14"/>
  </r>
  <r>
    <d v="2013-10-20T00:00:00"/>
    <s v="West"/>
    <x v="8"/>
    <x v="15"/>
  </r>
  <r>
    <d v="2013-10-25T00:00:00"/>
    <s v="Southwest"/>
    <x v="9"/>
    <x v="16"/>
  </r>
  <r>
    <d v="2013-10-24T00:00:00"/>
    <s v="Northwest"/>
    <x v="10"/>
    <x v="17"/>
  </r>
  <r>
    <d v="2013-10-22T00:00:00"/>
    <s v="West"/>
    <x v="4"/>
    <x v="18"/>
  </r>
  <r>
    <d v="2013-10-24T00:00:00"/>
    <s v="West"/>
    <x v="2"/>
    <x v="19"/>
  </r>
  <r>
    <d v="2013-10-21T00:00:00"/>
    <s v="Northwest"/>
    <x v="5"/>
    <x v="20"/>
  </r>
  <r>
    <d v="2013-10-21T00:00:00"/>
    <s v="Southwest"/>
    <x v="6"/>
    <x v="21"/>
  </r>
  <r>
    <d v="2013-10-22T00:00:00"/>
    <s v="Southwest"/>
    <x v="3"/>
    <x v="22"/>
  </r>
  <r>
    <d v="2013-10-22T00:00:00"/>
    <s v="Northwest"/>
    <x v="1"/>
    <x v="23"/>
  </r>
  <r>
    <d v="2013-10-25T00:00:00"/>
    <s v="West"/>
    <x v="8"/>
    <x v="24"/>
  </r>
  <r>
    <d v="2013-10-26T00:00:00"/>
    <s v="West"/>
    <x v="3"/>
    <x v="25"/>
  </r>
  <r>
    <d v="2013-10-26T00:00:00"/>
    <s v="Southwest"/>
    <x v="8"/>
    <x v="3"/>
  </r>
  <r>
    <d v="2013-10-22T00:00:00"/>
    <s v="Southwest"/>
    <x v="5"/>
    <x v="26"/>
  </r>
  <r>
    <d v="2013-10-25T00:00:00"/>
    <s v="Southwest"/>
    <x v="3"/>
    <x v="27"/>
  </r>
  <r>
    <d v="2013-10-25T00:00:00"/>
    <s v="Northwest"/>
    <x v="6"/>
    <x v="28"/>
  </r>
  <r>
    <d v="2013-10-23T00:00:00"/>
    <s v="Northwest"/>
    <x v="11"/>
    <x v="29"/>
  </r>
  <r>
    <d v="2013-10-25T00:00:00"/>
    <s v="Northwest"/>
    <x v="4"/>
    <x v="30"/>
  </r>
  <r>
    <d v="2013-10-21T00:00:00"/>
    <s v="West"/>
    <x v="7"/>
    <x v="31"/>
  </r>
  <r>
    <d v="2013-10-25T00:00:00"/>
    <s v="West"/>
    <x v="5"/>
    <x v="32"/>
  </r>
  <r>
    <d v="2013-10-24T00:00:00"/>
    <s v="Southwest"/>
    <x v="12"/>
    <x v="33"/>
  </r>
  <r>
    <d v="2013-10-25T00:00:00"/>
    <s v="Northwest"/>
    <x v="13"/>
    <x v="34"/>
  </r>
  <r>
    <d v="2013-10-21T00:00:00"/>
    <s v="West"/>
    <x v="13"/>
    <x v="35"/>
  </r>
  <r>
    <d v="2013-10-21T00:00:00"/>
    <s v="Northwest"/>
    <x v="2"/>
    <x v="36"/>
  </r>
  <r>
    <d v="2013-10-21T00:00:00"/>
    <s v="Northwest"/>
    <x v="11"/>
    <x v="37"/>
  </r>
  <r>
    <d v="2013-10-21T00:00:00"/>
    <s v="West"/>
    <x v="1"/>
    <x v="38"/>
  </r>
  <r>
    <d v="2013-10-22T00:00:00"/>
    <s v="Northwest"/>
    <x v="14"/>
    <x v="39"/>
  </r>
  <r>
    <d v="2013-10-23T00:00:00"/>
    <s v="Northwest"/>
    <x v="7"/>
    <x v="40"/>
  </r>
  <r>
    <d v="2013-10-24T00:00:00"/>
    <s v="Southwest"/>
    <x v="4"/>
    <x v="41"/>
  </r>
  <r>
    <d v="2013-10-26T00:00:00"/>
    <s v="Southwest"/>
    <x v="9"/>
    <x v="42"/>
  </r>
  <r>
    <d v="2013-10-25T00:00:00"/>
    <s v="West"/>
    <x v="0"/>
    <x v="43"/>
  </r>
  <r>
    <d v="2013-10-25T00:00:00"/>
    <s v="Northwest"/>
    <x v="6"/>
    <x v="44"/>
  </r>
  <r>
    <d v="2013-10-20T00:00:00"/>
    <s v="West"/>
    <x v="1"/>
    <x v="45"/>
  </r>
  <r>
    <d v="2013-10-26T00:00:00"/>
    <s v="Southwest"/>
    <x v="6"/>
    <x v="46"/>
  </r>
  <r>
    <d v="2013-10-25T00:00:00"/>
    <s v="Southwest"/>
    <x v="5"/>
    <x v="47"/>
  </r>
  <r>
    <d v="2013-10-24T00:00:00"/>
    <s v="Southwest"/>
    <x v="11"/>
    <x v="48"/>
  </r>
  <r>
    <d v="2013-10-21T00:00:00"/>
    <s v="West"/>
    <x v="5"/>
    <x v="49"/>
  </r>
  <r>
    <d v="2013-10-24T00:00:00"/>
    <s v="Northwest"/>
    <x v="5"/>
    <x v="50"/>
  </r>
  <r>
    <d v="2013-10-20T00:00:00"/>
    <s v="Northwest"/>
    <x v="9"/>
    <x v="51"/>
  </r>
  <r>
    <d v="2013-10-21T00:00:00"/>
    <s v="Southwest"/>
    <x v="6"/>
    <x v="52"/>
  </r>
  <r>
    <d v="2013-10-24T00:00:00"/>
    <s v="Southwest"/>
    <x v="15"/>
    <x v="53"/>
  </r>
  <r>
    <d v="2013-10-21T00:00:00"/>
    <s v="West"/>
    <x v="3"/>
    <x v="0"/>
  </r>
  <r>
    <d v="2013-10-22T00:00:00"/>
    <s v="Northwest"/>
    <x v="8"/>
    <x v="54"/>
  </r>
  <r>
    <d v="2013-10-26T00:00:00"/>
    <s v="West"/>
    <x v="13"/>
    <x v="55"/>
  </r>
  <r>
    <d v="2013-10-23T00:00:00"/>
    <s v="Southwest"/>
    <x v="2"/>
    <x v="56"/>
  </r>
  <r>
    <d v="2013-10-23T00:00:00"/>
    <s v="West"/>
    <x v="3"/>
    <x v="57"/>
  </r>
  <r>
    <d v="2013-10-24T00:00:00"/>
    <s v="Northwest"/>
    <x v="2"/>
    <x v="58"/>
  </r>
  <r>
    <d v="2013-10-26T00:00:00"/>
    <s v="Southwest"/>
    <x v="12"/>
    <x v="59"/>
  </r>
  <r>
    <d v="2013-10-25T00:00:00"/>
    <s v="West"/>
    <x v="13"/>
    <x v="60"/>
  </r>
  <r>
    <d v="2013-10-20T00:00:00"/>
    <s v="West"/>
    <x v="11"/>
    <x v="29"/>
  </r>
  <r>
    <d v="2013-10-21T00:00:00"/>
    <s v="Southwest"/>
    <x v="13"/>
    <x v="61"/>
  </r>
  <r>
    <d v="2013-10-20T00:00:00"/>
    <s v="West"/>
    <x v="8"/>
    <x v="62"/>
  </r>
  <r>
    <d v="2013-10-20T00:00:00"/>
    <s v="Southwest"/>
    <x v="4"/>
    <x v="63"/>
  </r>
  <r>
    <d v="2013-10-26T00:00:00"/>
    <s v="Southwest"/>
    <x v="0"/>
    <x v="64"/>
  </r>
  <r>
    <d v="2013-10-23T00:00:00"/>
    <s v="Northwest"/>
    <x v="6"/>
    <x v="65"/>
  </r>
  <r>
    <d v="2013-10-23T00:00:00"/>
    <s v="West"/>
    <x v="3"/>
    <x v="66"/>
  </r>
  <r>
    <d v="2013-10-26T00:00:00"/>
    <s v="Southwest"/>
    <x v="6"/>
    <x v="67"/>
  </r>
  <r>
    <d v="2013-10-23T00:00:00"/>
    <s v="West"/>
    <x v="11"/>
    <x v="34"/>
  </r>
  <r>
    <d v="2013-10-22T00:00:00"/>
    <s v="West"/>
    <x v="4"/>
    <x v="68"/>
  </r>
  <r>
    <d v="2013-10-24T00:00:00"/>
    <s v="Southwest"/>
    <x v="16"/>
    <x v="69"/>
  </r>
  <r>
    <d v="2013-10-24T00:00:00"/>
    <s v="Southwest"/>
    <x v="6"/>
    <x v="70"/>
  </r>
  <r>
    <d v="2013-10-26T00:00:00"/>
    <s v="West"/>
    <x v="17"/>
    <x v="71"/>
  </r>
  <r>
    <d v="2013-10-26T00:00:00"/>
    <s v="Northwest"/>
    <x v="3"/>
    <x v="72"/>
  </r>
  <r>
    <d v="2013-10-23T00:00:00"/>
    <s v="Southwest"/>
    <x v="12"/>
    <x v="73"/>
  </r>
  <r>
    <d v="2013-10-20T00:00:00"/>
    <s v="Southwest"/>
    <x v="18"/>
    <x v="74"/>
  </r>
  <r>
    <d v="2013-10-23T00:00:00"/>
    <s v="Southwest"/>
    <x v="13"/>
    <x v="33"/>
  </r>
  <r>
    <d v="2013-10-20T00:00:00"/>
    <s v="Southwest"/>
    <x v="12"/>
    <x v="75"/>
  </r>
  <r>
    <d v="2013-10-22T00:00:00"/>
    <s v="West"/>
    <x v="12"/>
    <x v="76"/>
  </r>
  <r>
    <d v="2013-10-23T00:00:00"/>
    <s v="Southwest"/>
    <x v="19"/>
    <x v="77"/>
  </r>
  <r>
    <d v="2013-10-26T00:00:00"/>
    <s v="Southwest"/>
    <x v="2"/>
    <x v="78"/>
  </r>
  <r>
    <d v="2013-10-22T00:00:00"/>
    <s v="West"/>
    <x v="17"/>
    <x v="79"/>
  </r>
  <r>
    <d v="2013-10-26T00:00:00"/>
    <s v="Northwest"/>
    <x v="1"/>
    <x v="80"/>
  </r>
  <r>
    <d v="2013-10-21T00:00:00"/>
    <s v="West"/>
    <x v="12"/>
    <x v="81"/>
  </r>
  <r>
    <d v="2013-10-24T00:00:00"/>
    <s v="West"/>
    <x v="20"/>
    <x v="82"/>
  </r>
  <r>
    <d v="2013-10-23T00:00:00"/>
    <s v="Northwest"/>
    <x v="2"/>
    <x v="83"/>
  </r>
  <r>
    <d v="2013-10-25T00:00:00"/>
    <s v="Northwest"/>
    <x v="16"/>
    <x v="84"/>
  </r>
  <r>
    <d v="2013-10-25T00:00:00"/>
    <s v="Southwest"/>
    <x v="8"/>
    <x v="45"/>
  </r>
  <r>
    <d v="2013-10-23T00:00:00"/>
    <s v="Northwest"/>
    <x v="19"/>
    <x v="85"/>
  </r>
  <r>
    <d v="2013-10-20T00:00:00"/>
    <s v="West"/>
    <x v="11"/>
    <x v="86"/>
  </r>
  <r>
    <d v="2013-10-22T00:00:00"/>
    <s v="West"/>
    <x v="3"/>
    <x v="87"/>
  </r>
  <r>
    <d v="2013-10-26T00:00:00"/>
    <s v="West"/>
    <x v="21"/>
    <x v="88"/>
  </r>
  <r>
    <d v="2013-10-21T00:00:00"/>
    <s v="West"/>
    <x v="21"/>
    <x v="89"/>
  </r>
  <r>
    <d v="2013-10-25T00:00:00"/>
    <s v="Southwest"/>
    <x v="13"/>
    <x v="90"/>
  </r>
  <r>
    <d v="2013-10-26T00:00:00"/>
    <s v="Southwest"/>
    <x v="6"/>
    <x v="91"/>
  </r>
  <r>
    <d v="2013-10-21T00:00:00"/>
    <s v="Southwest"/>
    <x v="13"/>
    <x v="92"/>
  </r>
  <r>
    <d v="2013-10-26T00:00:00"/>
    <s v="Northwest"/>
    <x v="6"/>
    <x v="93"/>
  </r>
  <r>
    <d v="2013-10-23T00:00:00"/>
    <s v="Southwest"/>
    <x v="6"/>
    <x v="94"/>
  </r>
  <r>
    <d v="2013-10-21T00:00:00"/>
    <s v="Southwest"/>
    <x v="0"/>
    <x v="95"/>
  </r>
  <r>
    <d v="2013-10-26T00:00:00"/>
    <s v="West"/>
    <x v="3"/>
    <x v="96"/>
  </r>
  <r>
    <d v="2013-10-20T00:00:00"/>
    <s v="Southwest"/>
    <x v="9"/>
    <x v="97"/>
  </r>
  <r>
    <d v="2013-10-25T00:00:00"/>
    <s v="Northwest"/>
    <x v="5"/>
    <x v="98"/>
  </r>
  <r>
    <d v="2013-10-25T00:00:00"/>
    <s v="Southwest"/>
    <x v="3"/>
    <x v="99"/>
  </r>
  <r>
    <d v="2013-10-21T00:00:00"/>
    <s v="Northwest"/>
    <x v="10"/>
    <x v="100"/>
  </r>
  <r>
    <d v="2013-10-25T00:00:00"/>
    <s v="Northwest"/>
    <x v="22"/>
    <x v="101"/>
  </r>
  <r>
    <d v="2013-10-24T00:00:00"/>
    <s v="Southwest"/>
    <x v="13"/>
    <x v="102"/>
  </r>
  <r>
    <d v="2013-10-22T00:00:00"/>
    <s v="West"/>
    <x v="2"/>
    <x v="103"/>
  </r>
  <r>
    <d v="2013-10-21T00:00:00"/>
    <s v="Northwest"/>
    <x v="10"/>
    <x v="104"/>
  </r>
  <r>
    <d v="2013-10-22T00:00:00"/>
    <s v="West"/>
    <x v="8"/>
    <x v="105"/>
  </r>
  <r>
    <d v="2013-10-25T00:00:00"/>
    <s v="West"/>
    <x v="12"/>
    <x v="106"/>
  </r>
  <r>
    <d v="2013-10-22T00:00:00"/>
    <s v="West"/>
    <x v="4"/>
    <x v="107"/>
  </r>
  <r>
    <d v="2013-10-26T00:00:00"/>
    <s v="West"/>
    <x v="17"/>
    <x v="108"/>
  </r>
  <r>
    <d v="2013-10-20T00:00:00"/>
    <s v="Northwest"/>
    <x v="23"/>
    <x v="109"/>
  </r>
  <r>
    <d v="2013-10-22T00:00:00"/>
    <s v="Southwest"/>
    <x v="8"/>
    <x v="110"/>
  </r>
  <r>
    <d v="2013-10-23T00:00:00"/>
    <s v="Northwest"/>
    <x v="17"/>
    <x v="47"/>
  </r>
  <r>
    <d v="2013-10-26T00:00:00"/>
    <s v="Northwest"/>
    <x v="3"/>
    <x v="111"/>
  </r>
  <r>
    <d v="2013-10-20T00:00:00"/>
    <s v="West"/>
    <x v="18"/>
    <x v="112"/>
  </r>
  <r>
    <d v="2013-10-20T00:00:00"/>
    <s v="Northwest"/>
    <x v="13"/>
    <x v="113"/>
  </r>
  <r>
    <d v="2013-10-20T00:00:00"/>
    <s v="Northwest"/>
    <x v="2"/>
    <x v="114"/>
  </r>
  <r>
    <d v="2013-10-21T00:00:00"/>
    <s v="West"/>
    <x v="18"/>
    <x v="115"/>
  </r>
  <r>
    <d v="2013-10-26T00:00:00"/>
    <s v="West"/>
    <x v="23"/>
    <x v="116"/>
  </r>
  <r>
    <d v="2013-10-22T00:00:00"/>
    <s v="Northwest"/>
    <x v="8"/>
    <x v="117"/>
  </r>
  <r>
    <d v="2013-10-20T00:00:00"/>
    <s v="West"/>
    <x v="3"/>
    <x v="118"/>
  </r>
  <r>
    <d v="2013-10-22T00:00:00"/>
    <s v="Southwest"/>
    <x v="18"/>
    <x v="119"/>
  </r>
  <r>
    <d v="2013-10-23T00:00:00"/>
    <s v="Southwest"/>
    <x v="2"/>
    <x v="28"/>
  </r>
  <r>
    <d v="2013-10-25T00:00:00"/>
    <s v="West"/>
    <x v="23"/>
    <x v="51"/>
  </r>
  <r>
    <d v="2013-10-23T00:00:00"/>
    <s v="West"/>
    <x v="5"/>
    <x v="120"/>
  </r>
  <r>
    <d v="2013-10-26T00:00:00"/>
    <s v="Northwest"/>
    <x v="4"/>
    <x v="121"/>
  </r>
  <r>
    <d v="2013-10-21T00:00:00"/>
    <s v="Northwest"/>
    <x v="5"/>
    <x v="122"/>
  </r>
  <r>
    <d v="2013-10-23T00:00:00"/>
    <s v="West"/>
    <x v="13"/>
    <x v="123"/>
  </r>
  <r>
    <d v="2013-10-25T00:00:00"/>
    <s v="Southwest"/>
    <x v="1"/>
    <x v="124"/>
  </r>
  <r>
    <d v="2013-10-20T00:00:00"/>
    <s v="Northwest"/>
    <x v="9"/>
    <x v="125"/>
  </r>
  <r>
    <d v="2013-10-22T00:00:00"/>
    <s v="Northwest"/>
    <x v="4"/>
    <x v="126"/>
  </r>
  <r>
    <d v="2013-10-20T00:00:00"/>
    <s v="Southwest"/>
    <x v="1"/>
    <x v="127"/>
  </r>
  <r>
    <d v="2013-10-25T00:00:00"/>
    <s v="West"/>
    <x v="7"/>
    <x v="128"/>
  </r>
  <r>
    <d v="2013-10-25T00:00:00"/>
    <s v="Northwest"/>
    <x v="16"/>
    <x v="129"/>
  </r>
  <r>
    <d v="2013-10-20T00:00:00"/>
    <s v="Southwest"/>
    <x v="9"/>
    <x v="130"/>
  </r>
  <r>
    <d v="2013-10-20T00:00:00"/>
    <s v="Northwest"/>
    <x v="16"/>
    <x v="131"/>
  </r>
  <r>
    <d v="2013-10-24T00:00:00"/>
    <s v="Northwest"/>
    <x v="1"/>
    <x v="132"/>
  </r>
  <r>
    <d v="2013-10-24T00:00:00"/>
    <s v="West"/>
    <x v="12"/>
    <x v="133"/>
  </r>
  <r>
    <d v="2013-10-26T00:00:00"/>
    <s v="Northwest"/>
    <x v="11"/>
    <x v="134"/>
  </r>
  <r>
    <d v="2013-10-20T00:00:00"/>
    <s v="Northwest"/>
    <x v="24"/>
    <x v="135"/>
  </r>
  <r>
    <d v="2013-10-22T00:00:00"/>
    <s v="West"/>
    <x v="12"/>
    <x v="136"/>
  </r>
  <r>
    <d v="2013-10-26T00:00:00"/>
    <s v="West"/>
    <x v="18"/>
    <x v="137"/>
  </r>
  <r>
    <d v="2013-10-22T00:00:00"/>
    <s v="Southwest"/>
    <x v="13"/>
    <x v="138"/>
  </r>
  <r>
    <d v="2013-10-26T00:00:00"/>
    <s v="Southwest"/>
    <x v="6"/>
    <x v="139"/>
  </r>
  <r>
    <d v="2013-10-20T00:00:00"/>
    <s v="Southwest"/>
    <x v="11"/>
    <x v="140"/>
  </r>
  <r>
    <d v="2013-10-22T00:00:00"/>
    <s v="Southwest"/>
    <x v="5"/>
    <x v="141"/>
  </r>
  <r>
    <d v="2013-10-25T00:00:00"/>
    <s v="West"/>
    <x v="15"/>
    <x v="142"/>
  </r>
  <r>
    <d v="2013-10-22T00:00:00"/>
    <s v="West"/>
    <x v="10"/>
    <x v="143"/>
  </r>
  <r>
    <d v="2013-10-25T00:00:00"/>
    <s v="Northwest"/>
    <x v="13"/>
    <x v="144"/>
  </r>
  <r>
    <d v="2013-10-23T00:00:00"/>
    <s v="West"/>
    <x v="13"/>
    <x v="145"/>
  </r>
  <r>
    <d v="2013-10-22T00:00:00"/>
    <s v="West"/>
    <x v="12"/>
    <x v="146"/>
  </r>
  <r>
    <d v="2013-10-21T00:00:00"/>
    <s v="West"/>
    <x v="24"/>
    <x v="147"/>
  </r>
  <r>
    <d v="2013-10-24T00:00:00"/>
    <s v="Northwest"/>
    <x v="10"/>
    <x v="148"/>
  </r>
  <r>
    <d v="2013-10-23T00:00:00"/>
    <s v="Northwest"/>
    <x v="12"/>
    <x v="149"/>
  </r>
  <r>
    <d v="2013-10-24T00:00:00"/>
    <s v="West"/>
    <x v="6"/>
    <x v="150"/>
  </r>
  <r>
    <d v="2013-10-25T00:00:00"/>
    <s v="West"/>
    <x v="2"/>
    <x v="151"/>
  </r>
  <r>
    <d v="2013-10-25T00:00:00"/>
    <s v="Northwest"/>
    <x v="13"/>
    <x v="152"/>
  </r>
  <r>
    <d v="2013-10-24T00:00:00"/>
    <s v="Northwest"/>
    <x v="16"/>
    <x v="153"/>
  </r>
  <r>
    <d v="2013-10-20T00:00:00"/>
    <s v="West"/>
    <x v="14"/>
    <x v="77"/>
  </r>
  <r>
    <d v="2013-10-20T00:00:00"/>
    <s v="Southwest"/>
    <x v="3"/>
    <x v="154"/>
  </r>
  <r>
    <d v="2013-10-23T00:00:00"/>
    <s v="Northwest"/>
    <x v="4"/>
    <x v="36"/>
  </r>
  <r>
    <d v="2013-10-22T00:00:00"/>
    <s v="Northwest"/>
    <x v="8"/>
    <x v="155"/>
  </r>
  <r>
    <d v="2013-10-23T00:00:00"/>
    <s v="West"/>
    <x v="0"/>
    <x v="156"/>
  </r>
  <r>
    <d v="2013-10-24T00:00:00"/>
    <s v="Southwest"/>
    <x v="6"/>
    <x v="157"/>
  </r>
  <r>
    <d v="2013-10-22T00:00:00"/>
    <s v="Southwest"/>
    <x v="13"/>
    <x v="158"/>
  </r>
  <r>
    <d v="2013-10-23T00:00:00"/>
    <s v="West"/>
    <x v="22"/>
    <x v="159"/>
  </r>
  <r>
    <d v="2013-10-22T00:00:00"/>
    <s v="West"/>
    <x v="23"/>
    <x v="160"/>
  </r>
  <r>
    <d v="2013-10-26T00:00:00"/>
    <s v="Northwest"/>
    <x v="19"/>
    <x v="65"/>
  </r>
  <r>
    <d v="2013-10-25T00:00:00"/>
    <s v="West"/>
    <x v="24"/>
    <x v="161"/>
  </r>
  <r>
    <d v="2013-10-21T00:00:00"/>
    <s v="Northwest"/>
    <x v="21"/>
    <x v="162"/>
  </r>
  <r>
    <d v="2013-10-26T00:00:00"/>
    <s v="Northwest"/>
    <x v="3"/>
    <x v="163"/>
  </r>
  <r>
    <d v="2013-10-25T00:00:00"/>
    <s v="West"/>
    <x v="6"/>
    <x v="164"/>
  </r>
  <r>
    <d v="2013-10-24T00:00:00"/>
    <s v="West"/>
    <x v="1"/>
    <x v="29"/>
  </r>
  <r>
    <d v="2013-10-24T00:00:00"/>
    <s v="Northwest"/>
    <x v="16"/>
    <x v="165"/>
  </r>
  <r>
    <d v="2013-10-22T00:00:00"/>
    <s v="Southwest"/>
    <x v="1"/>
    <x v="98"/>
  </r>
  <r>
    <d v="2013-10-23T00:00:00"/>
    <s v="Southwest"/>
    <x v="8"/>
    <x v="166"/>
  </r>
  <r>
    <d v="2013-10-24T00:00:00"/>
    <s v="West"/>
    <x v="8"/>
    <x v="167"/>
  </r>
  <r>
    <d v="2013-10-23T00:00:00"/>
    <s v="Northwest"/>
    <x v="24"/>
    <x v="168"/>
  </r>
  <r>
    <d v="2013-10-26T00:00:00"/>
    <s v="West"/>
    <x v="8"/>
    <x v="169"/>
  </r>
  <r>
    <d v="2013-10-21T00:00:00"/>
    <s v="Northwest"/>
    <x v="15"/>
    <x v="170"/>
  </r>
  <r>
    <d v="2013-10-22T00:00:00"/>
    <s v="West"/>
    <x v="18"/>
    <x v="171"/>
  </r>
  <r>
    <d v="2013-10-21T00:00:00"/>
    <s v="West"/>
    <x v="4"/>
    <x v="172"/>
  </r>
  <r>
    <d v="2013-10-24T00:00:00"/>
    <s v="West"/>
    <x v="10"/>
    <x v="124"/>
  </r>
  <r>
    <d v="2013-10-21T00:00:00"/>
    <s v="Northwest"/>
    <x v="15"/>
    <x v="173"/>
  </r>
  <r>
    <d v="2013-10-22T00:00:00"/>
    <s v="Southwest"/>
    <x v="15"/>
    <x v="174"/>
  </r>
  <r>
    <d v="2013-10-25T00:00:00"/>
    <s v="West"/>
    <x v="17"/>
    <x v="175"/>
  </r>
  <r>
    <d v="2013-10-24T00:00:00"/>
    <s v="Southwest"/>
    <x v="14"/>
    <x v="176"/>
  </r>
  <r>
    <d v="2013-10-23T00:00:00"/>
    <s v="West"/>
    <x v="3"/>
    <x v="177"/>
  </r>
  <r>
    <d v="2013-10-26T00:00:00"/>
    <s v="West"/>
    <x v="6"/>
    <x v="178"/>
  </r>
  <r>
    <d v="2013-10-22T00:00:00"/>
    <s v="West"/>
    <x v="13"/>
    <x v="179"/>
  </r>
  <r>
    <d v="2013-10-25T00:00:00"/>
    <s v="West"/>
    <x v="13"/>
    <x v="180"/>
  </r>
  <r>
    <d v="2013-10-23T00:00:00"/>
    <s v="Southwest"/>
    <x v="8"/>
    <x v="181"/>
  </r>
  <r>
    <d v="2013-10-25T00:00:00"/>
    <s v="Southwest"/>
    <x v="1"/>
    <x v="182"/>
  </r>
  <r>
    <d v="2013-10-23T00:00:00"/>
    <s v="Southwest"/>
    <x v="20"/>
    <x v="183"/>
  </r>
  <r>
    <d v="2013-10-22T00:00:00"/>
    <s v="Southwest"/>
    <x v="0"/>
    <x v="184"/>
  </r>
  <r>
    <d v="2013-10-23T00:00:00"/>
    <s v="West"/>
    <x v="12"/>
    <x v="70"/>
  </r>
  <r>
    <d v="2013-10-24T00:00:00"/>
    <s v="West"/>
    <x v="4"/>
    <x v="172"/>
  </r>
  <r>
    <d v="2013-10-22T00:00:00"/>
    <s v="West"/>
    <x v="18"/>
    <x v="12"/>
  </r>
  <r>
    <d v="2013-10-22T00:00:00"/>
    <s v="West"/>
    <x v="12"/>
    <x v="185"/>
  </r>
  <r>
    <d v="2013-10-22T00:00:00"/>
    <s v="West"/>
    <x v="17"/>
    <x v="68"/>
  </r>
  <r>
    <d v="2013-10-22T00:00:00"/>
    <s v="Northwest"/>
    <x v="6"/>
    <x v="186"/>
  </r>
  <r>
    <d v="2013-10-21T00:00:00"/>
    <s v="Northwest"/>
    <x v="2"/>
    <x v="187"/>
  </r>
  <r>
    <d v="2013-10-23T00:00:00"/>
    <s v="Northwest"/>
    <x v="1"/>
    <x v="7"/>
  </r>
  <r>
    <d v="2013-10-20T00:00:00"/>
    <s v="West"/>
    <x v="2"/>
    <x v="136"/>
  </r>
  <r>
    <d v="2013-10-26T00:00:00"/>
    <s v="Northwest"/>
    <x v="23"/>
    <x v="56"/>
  </r>
  <r>
    <d v="2013-10-26T00:00:00"/>
    <s v="Southwest"/>
    <x v="5"/>
    <x v="188"/>
  </r>
  <r>
    <d v="2013-10-26T00:00:00"/>
    <s v="Southwest"/>
    <x v="8"/>
    <x v="189"/>
  </r>
  <r>
    <d v="2013-10-25T00:00:00"/>
    <s v="Northwest"/>
    <x v="8"/>
    <x v="190"/>
  </r>
  <r>
    <d v="2013-10-26T00:00:00"/>
    <s v="West"/>
    <x v="13"/>
    <x v="191"/>
  </r>
  <r>
    <d v="2013-10-24T00:00:00"/>
    <s v="Northwest"/>
    <x v="13"/>
    <x v="192"/>
  </r>
  <r>
    <d v="2013-10-25T00:00:00"/>
    <s v="Southwest"/>
    <x v="1"/>
    <x v="193"/>
  </r>
  <r>
    <d v="2013-10-20T00:00:00"/>
    <s v="Southwest"/>
    <x v="3"/>
    <x v="194"/>
  </r>
  <r>
    <d v="2013-10-21T00:00:00"/>
    <s v="Southwest"/>
    <x v="3"/>
    <x v="195"/>
  </r>
  <r>
    <d v="2013-10-24T00:00:00"/>
    <s v="Southwest"/>
    <x v="2"/>
    <x v="196"/>
  </r>
  <r>
    <d v="2013-10-26T00:00:00"/>
    <s v="Southwest"/>
    <x v="1"/>
    <x v="197"/>
  </r>
  <r>
    <d v="2013-10-22T00:00:00"/>
    <s v="Northwest"/>
    <x v="1"/>
    <x v="198"/>
  </r>
  <r>
    <d v="2013-10-20T00:00:00"/>
    <s v="West"/>
    <x v="20"/>
    <x v="168"/>
  </r>
  <r>
    <d v="2013-10-20T00:00:00"/>
    <s v="Northwest"/>
    <x v="1"/>
    <x v="199"/>
  </r>
  <r>
    <d v="2013-10-21T00:00:00"/>
    <s v="Northwest"/>
    <x v="0"/>
    <x v="200"/>
  </r>
  <r>
    <d v="2013-10-20T00:00:00"/>
    <s v="Southwest"/>
    <x v="2"/>
    <x v="201"/>
  </r>
  <r>
    <d v="2013-10-26T00:00:00"/>
    <s v="Northwest"/>
    <x v="22"/>
    <x v="202"/>
  </r>
  <r>
    <d v="2013-10-22T00:00:00"/>
    <s v="West"/>
    <x v="13"/>
    <x v="203"/>
  </r>
  <r>
    <d v="2013-10-21T00:00:00"/>
    <s v="Southwest"/>
    <x v="6"/>
    <x v="204"/>
  </r>
  <r>
    <d v="2013-10-22T00:00:00"/>
    <s v="West"/>
    <x v="12"/>
    <x v="203"/>
  </r>
  <r>
    <d v="2013-10-25T00:00:00"/>
    <s v="West"/>
    <x v="14"/>
    <x v="205"/>
  </r>
  <r>
    <d v="2013-10-23T00:00:00"/>
    <s v="West"/>
    <x v="6"/>
    <x v="3"/>
  </r>
  <r>
    <d v="2013-10-24T00:00:00"/>
    <s v="Southwest"/>
    <x v="12"/>
    <x v="206"/>
  </r>
  <r>
    <d v="2013-10-23T00:00:00"/>
    <s v="West"/>
    <x v="3"/>
    <x v="207"/>
  </r>
  <r>
    <d v="2013-10-23T00:00:00"/>
    <s v="West"/>
    <x v="4"/>
    <x v="208"/>
  </r>
  <r>
    <d v="2013-10-26T00:00:00"/>
    <s v="West"/>
    <x v="6"/>
    <x v="149"/>
  </r>
  <r>
    <d v="2013-10-21T00:00:00"/>
    <s v="Southwest"/>
    <x v="7"/>
    <x v="209"/>
  </r>
  <r>
    <d v="2013-10-23T00:00:00"/>
    <s v="Northwest"/>
    <x v="2"/>
    <x v="210"/>
  </r>
  <r>
    <d v="2013-10-20T00:00:00"/>
    <s v="Southwest"/>
    <x v="5"/>
    <x v="210"/>
  </r>
  <r>
    <d v="2013-10-26T00:00:00"/>
    <s v="Southwest"/>
    <x v="4"/>
    <x v="101"/>
  </r>
  <r>
    <d v="2013-10-26T00:00:00"/>
    <s v="Southwest"/>
    <x v="12"/>
    <x v="107"/>
  </r>
  <r>
    <d v="2013-10-24T00:00:00"/>
    <s v="Northwest"/>
    <x v="12"/>
    <x v="176"/>
  </r>
  <r>
    <d v="2013-10-22T00:00:00"/>
    <s v="Southwest"/>
    <x v="8"/>
    <x v="211"/>
  </r>
  <r>
    <d v="2013-10-22T00:00:00"/>
    <s v="West"/>
    <x v="23"/>
    <x v="212"/>
  </r>
  <r>
    <d v="2013-10-25T00:00:00"/>
    <s v="Northwest"/>
    <x v="1"/>
    <x v="70"/>
  </r>
  <r>
    <d v="2013-10-20T00:00:00"/>
    <s v="West"/>
    <x v="1"/>
    <x v="213"/>
  </r>
  <r>
    <d v="2013-10-25T00:00:00"/>
    <s v="Southwest"/>
    <x v="13"/>
    <x v="214"/>
  </r>
  <r>
    <d v="2013-10-26T00:00:00"/>
    <s v="Southwest"/>
    <x v="11"/>
    <x v="215"/>
  </r>
  <r>
    <d v="2013-10-24T00:00:00"/>
    <s v="Northwest"/>
    <x v="6"/>
    <x v="216"/>
  </r>
  <r>
    <d v="2013-10-21T00:00:00"/>
    <s v="West"/>
    <x v="4"/>
    <x v="217"/>
  </r>
  <r>
    <d v="2013-10-22T00:00:00"/>
    <s v="Northwest"/>
    <x v="2"/>
    <x v="218"/>
  </r>
  <r>
    <d v="2013-10-22T00:00:00"/>
    <s v="West"/>
    <x v="1"/>
    <x v="219"/>
  </r>
  <r>
    <d v="2013-10-23T00:00:00"/>
    <s v="West"/>
    <x v="5"/>
    <x v="164"/>
  </r>
  <r>
    <d v="2013-10-23T00:00:00"/>
    <s v="West"/>
    <x v="24"/>
    <x v="220"/>
  </r>
  <r>
    <d v="2013-10-24T00:00:00"/>
    <s v="Southwest"/>
    <x v="23"/>
    <x v="88"/>
  </r>
  <r>
    <d v="2013-10-26T00:00:00"/>
    <s v="Northwest"/>
    <x v="15"/>
    <x v="221"/>
  </r>
  <r>
    <d v="2013-10-23T00:00:00"/>
    <s v="Northwest"/>
    <x v="8"/>
    <x v="36"/>
  </r>
  <r>
    <d v="2013-10-26T00:00:00"/>
    <s v="Northwest"/>
    <x v="13"/>
    <x v="86"/>
  </r>
  <r>
    <d v="2013-10-21T00:00:00"/>
    <s v="Northwest"/>
    <x v="5"/>
    <x v="147"/>
  </r>
  <r>
    <d v="2013-10-23T00:00:00"/>
    <s v="West"/>
    <x v="18"/>
    <x v="222"/>
  </r>
  <r>
    <d v="2013-10-24T00:00:00"/>
    <s v="West"/>
    <x v="15"/>
    <x v="223"/>
  </r>
  <r>
    <d v="2013-10-25T00:00:00"/>
    <s v="Northwest"/>
    <x v="13"/>
    <x v="224"/>
  </r>
  <r>
    <d v="2013-10-24T00:00:00"/>
    <s v="Southwest"/>
    <x v="4"/>
    <x v="225"/>
  </r>
  <r>
    <d v="2013-10-24T00:00:00"/>
    <s v="West"/>
    <x v="1"/>
    <x v="226"/>
  </r>
  <r>
    <d v="2013-10-25T00:00:00"/>
    <s v="Southwest"/>
    <x v="20"/>
    <x v="76"/>
  </r>
  <r>
    <d v="2013-10-21T00:00:00"/>
    <s v="Southwest"/>
    <x v="1"/>
    <x v="181"/>
  </r>
  <r>
    <d v="2013-10-21T00:00:00"/>
    <s v="West"/>
    <x v="6"/>
    <x v="227"/>
  </r>
  <r>
    <d v="2013-10-25T00:00:00"/>
    <s v="West"/>
    <x v="12"/>
    <x v="228"/>
  </r>
  <r>
    <d v="2013-10-22T00:00:00"/>
    <s v="Southwest"/>
    <x v="4"/>
    <x v="229"/>
  </r>
  <r>
    <d v="2013-10-20T00:00:00"/>
    <s v="West"/>
    <x v="18"/>
    <x v="230"/>
  </r>
  <r>
    <d v="2013-10-23T00:00:00"/>
    <s v="Northwest"/>
    <x v="13"/>
    <x v="89"/>
  </r>
  <r>
    <d v="2013-10-26T00:00:00"/>
    <s v="West"/>
    <x v="12"/>
    <x v="231"/>
  </r>
  <r>
    <d v="2013-10-22T00:00:00"/>
    <s v="Southwest"/>
    <x v="6"/>
    <x v="109"/>
  </r>
  <r>
    <d v="2013-10-23T00:00:00"/>
    <s v="Northwest"/>
    <x v="8"/>
    <x v="23"/>
  </r>
  <r>
    <d v="2013-10-24T00:00:00"/>
    <s v="Southwest"/>
    <x v="2"/>
    <x v="232"/>
  </r>
  <r>
    <d v="2013-10-20T00:00:00"/>
    <s v="Northwest"/>
    <x v="11"/>
    <x v="233"/>
  </r>
  <r>
    <d v="2013-10-24T00:00:00"/>
    <s v="Southwest"/>
    <x v="4"/>
    <x v="9"/>
  </r>
  <r>
    <d v="2013-10-26T00:00:00"/>
    <s v="Southwest"/>
    <x v="20"/>
    <x v="234"/>
  </r>
  <r>
    <d v="2013-10-22T00:00:00"/>
    <s v="West"/>
    <x v="5"/>
    <x v="235"/>
  </r>
  <r>
    <d v="2013-10-23T00:00:00"/>
    <s v="West"/>
    <x v="4"/>
    <x v="208"/>
  </r>
  <r>
    <d v="2013-10-25T00:00:00"/>
    <s v="West"/>
    <x v="5"/>
    <x v="236"/>
  </r>
  <r>
    <d v="2013-10-22T00:00:00"/>
    <s v="Southwest"/>
    <x v="24"/>
    <x v="176"/>
  </r>
  <r>
    <d v="2013-10-26T00:00:00"/>
    <s v="Southwest"/>
    <x v="24"/>
    <x v="231"/>
  </r>
  <r>
    <d v="2013-10-22T00:00:00"/>
    <s v="West"/>
    <x v="18"/>
    <x v="237"/>
  </r>
  <r>
    <d v="2013-10-20T00:00:00"/>
    <s v="Southwest"/>
    <x v="11"/>
    <x v="168"/>
  </r>
  <r>
    <d v="2013-10-20T00:00:00"/>
    <s v="Southwest"/>
    <x v="12"/>
    <x v="134"/>
  </r>
  <r>
    <d v="2013-10-25T00:00:00"/>
    <s v="Northwest"/>
    <x v="2"/>
    <x v="238"/>
  </r>
  <r>
    <d v="2013-10-26T00:00:00"/>
    <s v="Northwest"/>
    <x v="13"/>
    <x v="239"/>
  </r>
  <r>
    <d v="2013-10-21T00:00:00"/>
    <s v="Northwest"/>
    <x v="12"/>
    <x v="9"/>
  </r>
  <r>
    <d v="2013-10-21T00:00:00"/>
    <s v="West"/>
    <x v="12"/>
    <x v="6"/>
  </r>
  <r>
    <d v="2013-10-26T00:00:00"/>
    <s v="Southwest"/>
    <x v="20"/>
    <x v="7"/>
  </r>
  <r>
    <d v="2013-10-26T00:00:00"/>
    <s v="West"/>
    <x v="8"/>
    <x v="240"/>
  </r>
  <r>
    <d v="2013-10-20T00:00:00"/>
    <s v="Southwest"/>
    <x v="2"/>
    <x v="241"/>
  </r>
  <r>
    <d v="2013-10-22T00:00:00"/>
    <s v="Northwest"/>
    <x v="12"/>
    <x v="242"/>
  </r>
  <r>
    <d v="2013-10-24T00:00:00"/>
    <s v="Southwest"/>
    <x v="9"/>
    <x v="202"/>
  </r>
  <r>
    <d v="2013-10-20T00:00:00"/>
    <s v="Northwest"/>
    <x v="6"/>
    <x v="243"/>
  </r>
  <r>
    <d v="2013-10-21T00:00:00"/>
    <s v="Northwest"/>
    <x v="13"/>
    <x v="244"/>
  </r>
  <r>
    <d v="2013-10-23T00:00:00"/>
    <s v="West"/>
    <x v="6"/>
    <x v="189"/>
  </r>
  <r>
    <d v="2013-10-20T00:00:00"/>
    <s v="West"/>
    <x v="4"/>
    <x v="245"/>
  </r>
  <r>
    <d v="2013-10-22T00:00:00"/>
    <s v="West"/>
    <x v="6"/>
    <x v="246"/>
  </r>
  <r>
    <d v="2013-10-20T00:00:00"/>
    <s v="West"/>
    <x v="20"/>
    <x v="247"/>
  </r>
  <r>
    <d v="2013-10-23T00:00:00"/>
    <s v="West"/>
    <x v="6"/>
    <x v="35"/>
  </r>
  <r>
    <d v="2013-10-25T00:00:00"/>
    <s v="Northwest"/>
    <x v="0"/>
    <x v="118"/>
  </r>
  <r>
    <d v="2013-10-25T00:00:00"/>
    <s v="Southwest"/>
    <x v="2"/>
    <x v="248"/>
  </r>
  <r>
    <d v="2013-10-25T00:00:00"/>
    <s v="Northwest"/>
    <x v="3"/>
    <x v="249"/>
  </r>
  <r>
    <d v="2013-10-26T00:00:00"/>
    <s v="Northwest"/>
    <x v="5"/>
    <x v="250"/>
  </r>
  <r>
    <d v="2013-10-22T00:00:00"/>
    <s v="Southwest"/>
    <x v="1"/>
    <x v="218"/>
  </r>
  <r>
    <d v="2013-10-26T00:00:00"/>
    <s v="West"/>
    <x v="12"/>
    <x v="251"/>
  </r>
  <r>
    <d v="2013-10-26T00:00:00"/>
    <s v="Southwest"/>
    <x v="3"/>
    <x v="202"/>
  </r>
  <r>
    <d v="2013-10-22T00:00:00"/>
    <s v="West"/>
    <x v="1"/>
    <x v="252"/>
  </r>
  <r>
    <d v="2013-10-25T00:00:00"/>
    <s v="Northwest"/>
    <x v="6"/>
    <x v="253"/>
  </r>
  <r>
    <d v="2013-10-22T00:00:00"/>
    <s v="Southwest"/>
    <x v="5"/>
    <x v="36"/>
  </r>
  <r>
    <d v="2013-10-23T00:00:00"/>
    <s v="Southwest"/>
    <x v="12"/>
    <x v="254"/>
  </r>
  <r>
    <d v="2013-10-21T00:00:00"/>
    <s v="West"/>
    <x v="4"/>
    <x v="176"/>
  </r>
  <r>
    <d v="2013-10-26T00:00:00"/>
    <s v="West"/>
    <x v="5"/>
    <x v="255"/>
  </r>
  <r>
    <d v="2013-10-24T00:00:00"/>
    <s v="Southwest"/>
    <x v="12"/>
    <x v="256"/>
  </r>
  <r>
    <d v="2013-10-24T00:00:00"/>
    <s v="West"/>
    <x v="5"/>
    <x v="257"/>
  </r>
  <r>
    <d v="2013-10-26T00:00:00"/>
    <s v="Northwest"/>
    <x v="8"/>
    <x v="256"/>
  </r>
  <r>
    <d v="2013-10-20T00:00:00"/>
    <s v="Southwest"/>
    <x v="8"/>
    <x v="135"/>
  </r>
  <r>
    <d v="2013-10-22T00:00:00"/>
    <s v="West"/>
    <x v="8"/>
    <x v="35"/>
  </r>
  <r>
    <d v="2013-10-25T00:00:00"/>
    <s v="West"/>
    <x v="8"/>
    <x v="16"/>
  </r>
  <r>
    <d v="2013-10-23T00:00:00"/>
    <s v="Southwest"/>
    <x v="24"/>
    <x v="194"/>
  </r>
  <r>
    <d v="2013-10-21T00:00:00"/>
    <s v="West"/>
    <x v="8"/>
    <x v="258"/>
  </r>
  <r>
    <d v="2013-10-24T00:00:00"/>
    <s v="West"/>
    <x v="3"/>
    <x v="153"/>
  </r>
  <r>
    <d v="2013-10-23T00:00:00"/>
    <s v="Southwest"/>
    <x v="18"/>
    <x v="259"/>
  </r>
  <r>
    <d v="2013-10-25T00:00:00"/>
    <s v="West"/>
    <x v="23"/>
    <x v="260"/>
  </r>
  <r>
    <d v="2013-10-23T00:00:00"/>
    <s v="Northwest"/>
    <x v="4"/>
    <x v="261"/>
  </r>
  <r>
    <d v="2013-10-26T00:00:00"/>
    <s v="Southwest"/>
    <x v="3"/>
    <x v="262"/>
  </r>
  <r>
    <d v="2013-10-22T00:00:00"/>
    <s v="West"/>
    <x v="15"/>
    <x v="255"/>
  </r>
  <r>
    <d v="2013-10-21T00:00:00"/>
    <s v="Northwest"/>
    <x v="3"/>
    <x v="12"/>
  </r>
  <r>
    <d v="2013-10-25T00:00:00"/>
    <s v="West"/>
    <x v="4"/>
    <x v="53"/>
  </r>
  <r>
    <d v="2013-10-20T00:00:00"/>
    <s v="West"/>
    <x v="3"/>
    <x v="263"/>
  </r>
  <r>
    <d v="2013-10-24T00:00:00"/>
    <s v="Northwest"/>
    <x v="16"/>
    <x v="2"/>
  </r>
  <r>
    <d v="2013-10-24T00:00:00"/>
    <s v="Southwest"/>
    <x v="12"/>
    <x v="243"/>
  </r>
  <r>
    <d v="2013-10-21T00:00:00"/>
    <s v="West"/>
    <x v="6"/>
    <x v="264"/>
  </r>
  <r>
    <d v="2013-10-26T00:00:00"/>
    <s v="Southwest"/>
    <x v="16"/>
    <x v="265"/>
  </r>
  <r>
    <d v="2013-10-26T00:00:00"/>
    <s v="West"/>
    <x v="4"/>
    <x v="266"/>
  </r>
  <r>
    <d v="2013-10-25T00:00:00"/>
    <s v="West"/>
    <x v="6"/>
    <x v="8"/>
  </r>
  <r>
    <d v="2013-10-22T00:00:00"/>
    <s v="Southwest"/>
    <x v="15"/>
    <x v="122"/>
  </r>
  <r>
    <d v="2013-10-21T00:00:00"/>
    <s v="Northwest"/>
    <x v="8"/>
    <x v="248"/>
  </r>
  <r>
    <d v="2013-10-25T00:00:00"/>
    <s v="Northwest"/>
    <x v="3"/>
    <x v="267"/>
  </r>
  <r>
    <d v="2013-10-26T00:00:00"/>
    <s v="West"/>
    <x v="1"/>
    <x v="268"/>
  </r>
  <r>
    <d v="2013-10-25T00:00:00"/>
    <s v="Northwest"/>
    <x v="8"/>
    <x v="87"/>
  </r>
  <r>
    <d v="2013-10-22T00:00:00"/>
    <s v="Northwest"/>
    <x v="6"/>
    <x v="269"/>
  </r>
  <r>
    <d v="2013-10-21T00:00:00"/>
    <s v="West"/>
    <x v="6"/>
    <x v="166"/>
  </r>
  <r>
    <d v="2013-10-22T00:00:00"/>
    <s v="West"/>
    <x v="5"/>
    <x v="270"/>
  </r>
  <r>
    <d v="2013-10-20T00:00:00"/>
    <s v="Northwest"/>
    <x v="7"/>
    <x v="271"/>
  </r>
  <r>
    <d v="2013-10-26T00:00:00"/>
    <s v="West"/>
    <x v="7"/>
    <x v="117"/>
  </r>
  <r>
    <d v="2013-10-24T00:00:00"/>
    <s v="Northwest"/>
    <x v="15"/>
    <x v="238"/>
  </r>
  <r>
    <d v="2013-10-21T00:00:00"/>
    <s v="West"/>
    <x v="15"/>
    <x v="217"/>
  </r>
  <r>
    <d v="2013-10-22T00:00:00"/>
    <s v="Northwest"/>
    <x v="3"/>
    <x v="272"/>
  </r>
  <r>
    <d v="2013-10-21T00:00:00"/>
    <s v="Northwest"/>
    <x v="12"/>
    <x v="103"/>
  </r>
  <r>
    <d v="2013-10-22T00:00:00"/>
    <s v="Southwest"/>
    <x v="13"/>
    <x v="273"/>
  </r>
  <r>
    <d v="2013-10-25T00:00:00"/>
    <s v="Southwest"/>
    <x v="22"/>
    <x v="274"/>
  </r>
  <r>
    <d v="2013-10-22T00:00:00"/>
    <s v="Southwest"/>
    <x v="2"/>
    <x v="209"/>
  </r>
  <r>
    <d v="2013-10-22T00:00:00"/>
    <s v="West"/>
    <x v="6"/>
    <x v="275"/>
  </r>
  <r>
    <d v="2013-10-24T00:00:00"/>
    <s v="West"/>
    <x v="5"/>
    <x v="276"/>
  </r>
  <r>
    <d v="2013-10-22T00:00:00"/>
    <s v="Southwest"/>
    <x v="24"/>
    <x v="277"/>
  </r>
  <r>
    <d v="2013-10-21T00:00:00"/>
    <s v="West"/>
    <x v="17"/>
    <x v="197"/>
  </r>
  <r>
    <d v="2013-10-25T00:00:00"/>
    <s v="West"/>
    <x v="22"/>
    <x v="192"/>
  </r>
  <r>
    <d v="2013-10-21T00:00:00"/>
    <s v="Southwest"/>
    <x v="7"/>
    <x v="278"/>
  </r>
  <r>
    <d v="2013-10-21T00:00:00"/>
    <s v="Northwest"/>
    <x v="13"/>
    <x v="8"/>
  </r>
  <r>
    <d v="2013-10-25T00:00:00"/>
    <s v="Southwest"/>
    <x v="1"/>
    <x v="279"/>
  </r>
  <r>
    <d v="2013-10-20T00:00:00"/>
    <s v="Northwest"/>
    <x v="1"/>
    <x v="125"/>
  </r>
  <r>
    <d v="2013-10-22T00:00:00"/>
    <s v="Northwest"/>
    <x v="12"/>
    <x v="280"/>
  </r>
  <r>
    <d v="2013-10-25T00:00:00"/>
    <s v="Southwest"/>
    <x v="20"/>
    <x v="281"/>
  </r>
  <r>
    <d v="2013-10-26T00:00:00"/>
    <s v="Southwest"/>
    <x v="12"/>
    <x v="282"/>
  </r>
  <r>
    <d v="2013-10-25T00:00:00"/>
    <s v="Southwest"/>
    <x v="16"/>
    <x v="283"/>
  </r>
  <r>
    <d v="2013-10-21T00:00:00"/>
    <s v="Northwest"/>
    <x v="12"/>
    <x v="284"/>
  </r>
  <r>
    <d v="2013-10-20T00:00:00"/>
    <s v="West"/>
    <x v="4"/>
    <x v="115"/>
  </r>
  <r>
    <d v="2013-10-23T00:00:00"/>
    <s v="Southwest"/>
    <x v="8"/>
    <x v="285"/>
  </r>
  <r>
    <d v="2013-10-20T00:00:00"/>
    <s v="Northwest"/>
    <x v="4"/>
    <x v="217"/>
  </r>
  <r>
    <d v="2013-10-25T00:00:00"/>
    <s v="Southwest"/>
    <x v="2"/>
    <x v="239"/>
  </r>
  <r>
    <d v="2013-10-26T00:00:00"/>
    <s v="Northwest"/>
    <x v="5"/>
    <x v="286"/>
  </r>
  <r>
    <d v="2013-10-25T00:00:00"/>
    <s v="Northwest"/>
    <x v="8"/>
    <x v="145"/>
  </r>
  <r>
    <d v="2013-10-23T00:00:00"/>
    <s v="Southwest"/>
    <x v="17"/>
    <x v="287"/>
  </r>
  <r>
    <d v="2013-10-26T00:00:00"/>
    <s v="Southwest"/>
    <x v="18"/>
    <x v="288"/>
  </r>
  <r>
    <d v="2013-10-21T00:00:00"/>
    <s v="Northwest"/>
    <x v="5"/>
    <x v="289"/>
  </r>
  <r>
    <d v="2013-10-20T00:00:00"/>
    <s v="Southwest"/>
    <x v="3"/>
    <x v="160"/>
  </r>
  <r>
    <d v="2013-10-20T00:00:00"/>
    <s v="Southwest"/>
    <x v="16"/>
    <x v="290"/>
  </r>
  <r>
    <d v="2013-10-22T00:00:00"/>
    <s v="West"/>
    <x v="6"/>
    <x v="291"/>
  </r>
  <r>
    <d v="2013-10-26T00:00:00"/>
    <s v="Southwest"/>
    <x v="6"/>
    <x v="292"/>
  </r>
  <r>
    <d v="2013-10-22T00:00:00"/>
    <s v="Southwest"/>
    <x v="16"/>
    <x v="166"/>
  </r>
  <r>
    <d v="2013-10-24T00:00:00"/>
    <s v="Southwest"/>
    <x v="10"/>
    <x v="291"/>
  </r>
  <r>
    <d v="2013-10-23T00:00:00"/>
    <s v="Northwest"/>
    <x v="6"/>
    <x v="214"/>
  </r>
  <r>
    <d v="2013-10-23T00:00:00"/>
    <s v="Northwest"/>
    <x v="1"/>
    <x v="208"/>
  </r>
  <r>
    <d v="2013-10-26T00:00:00"/>
    <s v="West"/>
    <x v="8"/>
    <x v="90"/>
  </r>
  <r>
    <d v="2013-10-21T00:00:00"/>
    <s v="Northwest"/>
    <x v="5"/>
    <x v="293"/>
  </r>
  <r>
    <d v="2013-10-22T00:00:00"/>
    <s v="Northwest"/>
    <x v="8"/>
    <x v="294"/>
  </r>
  <r>
    <d v="2013-10-22T00:00:00"/>
    <s v="Southwest"/>
    <x v="1"/>
    <x v="295"/>
  </r>
  <r>
    <d v="2013-10-26T00:00:00"/>
    <s v="Northwest"/>
    <x v="13"/>
    <x v="296"/>
  </r>
  <r>
    <d v="2013-10-26T00:00:00"/>
    <s v="Southwest"/>
    <x v="17"/>
    <x v="185"/>
  </r>
  <r>
    <d v="2013-10-21T00:00:00"/>
    <s v="Southwest"/>
    <x v="12"/>
    <x v="134"/>
  </r>
  <r>
    <d v="2013-10-26T00:00:00"/>
    <s v="West"/>
    <x v="13"/>
    <x v="137"/>
  </r>
  <r>
    <d v="2013-10-22T00:00:00"/>
    <s v="West"/>
    <x v="21"/>
    <x v="297"/>
  </r>
  <r>
    <d v="2013-10-20T00:00:00"/>
    <s v="West"/>
    <x v="7"/>
    <x v="298"/>
  </r>
  <r>
    <d v="2013-10-20T00:00:00"/>
    <s v="Southwest"/>
    <x v="1"/>
    <x v="299"/>
  </r>
  <r>
    <d v="2013-10-20T00:00:00"/>
    <s v="West"/>
    <x v="8"/>
    <x v="1"/>
  </r>
  <r>
    <d v="2013-10-21T00:00:00"/>
    <s v="West"/>
    <x v="1"/>
    <x v="245"/>
  </r>
  <r>
    <d v="2013-10-23T00:00:00"/>
    <s v="Southwest"/>
    <x v="5"/>
    <x v="300"/>
  </r>
  <r>
    <d v="2013-10-24T00:00:00"/>
    <s v="Northwest"/>
    <x v="8"/>
    <x v="82"/>
  </r>
  <r>
    <d v="2013-10-20T00:00:00"/>
    <s v="Northwest"/>
    <x v="4"/>
    <x v="301"/>
  </r>
  <r>
    <d v="2013-10-20T00:00:00"/>
    <s v="West"/>
    <x v="24"/>
    <x v="302"/>
  </r>
  <r>
    <d v="2013-10-24T00:00:00"/>
    <s v="Northwest"/>
    <x v="18"/>
    <x v="107"/>
  </r>
  <r>
    <d v="2013-10-22T00:00:00"/>
    <s v="Southwest"/>
    <x v="15"/>
    <x v="163"/>
  </r>
  <r>
    <d v="2013-10-25T00:00:00"/>
    <s v="Northwest"/>
    <x v="5"/>
    <x v="279"/>
  </r>
  <r>
    <d v="2013-10-26T00:00:00"/>
    <s v="Northwest"/>
    <x v="17"/>
    <x v="303"/>
  </r>
  <r>
    <d v="2013-10-26T00:00:00"/>
    <s v="West"/>
    <x v="19"/>
    <x v="304"/>
  </r>
  <r>
    <d v="2013-10-23T00:00:00"/>
    <s v="Southwest"/>
    <x v="0"/>
    <x v="283"/>
  </r>
  <r>
    <d v="2013-10-22T00:00:00"/>
    <s v="West"/>
    <x v="13"/>
    <x v="305"/>
  </r>
  <r>
    <d v="2013-10-25T00:00:00"/>
    <s v="West"/>
    <x v="11"/>
    <x v="306"/>
  </r>
  <r>
    <d v="2013-10-21T00:00:00"/>
    <s v="Northwest"/>
    <x v="13"/>
    <x v="251"/>
  </r>
  <r>
    <d v="2013-10-21T00:00:00"/>
    <s v="Southwest"/>
    <x v="13"/>
    <x v="307"/>
  </r>
  <r>
    <d v="2013-10-24T00:00:00"/>
    <s v="Southwest"/>
    <x v="1"/>
    <x v="308"/>
  </r>
  <r>
    <d v="2013-10-26T00:00:00"/>
    <s v="West"/>
    <x v="14"/>
    <x v="142"/>
  </r>
  <r>
    <d v="2013-10-23T00:00:00"/>
    <s v="Southwest"/>
    <x v="8"/>
    <x v="34"/>
  </r>
  <r>
    <d v="2013-10-22T00:00:00"/>
    <s v="Southwest"/>
    <x v="1"/>
    <x v="309"/>
  </r>
  <r>
    <d v="2013-10-21T00:00:00"/>
    <s v="Southwest"/>
    <x v="16"/>
    <x v="310"/>
  </r>
  <r>
    <d v="2013-10-24T00:00:00"/>
    <s v="Southwest"/>
    <x v="4"/>
    <x v="27"/>
  </r>
  <r>
    <d v="2013-10-21T00:00:00"/>
    <s v="Northwest"/>
    <x v="13"/>
    <x v="5"/>
  </r>
  <r>
    <d v="2013-10-22T00:00:00"/>
    <s v="West"/>
    <x v="13"/>
    <x v="256"/>
  </r>
  <r>
    <d v="2013-10-22T00:00:00"/>
    <s v="Northwest"/>
    <x v="5"/>
    <x v="302"/>
  </r>
  <r>
    <d v="2013-10-21T00:00:00"/>
    <s v="Southwest"/>
    <x v="22"/>
    <x v="223"/>
  </r>
  <r>
    <d v="2013-10-23T00:00:00"/>
    <s v="Southwest"/>
    <x v="8"/>
    <x v="311"/>
  </r>
  <r>
    <d v="2013-10-24T00:00:00"/>
    <s v="West"/>
    <x v="15"/>
    <x v="312"/>
  </r>
  <r>
    <d v="2013-10-23T00:00:00"/>
    <s v="Southwest"/>
    <x v="13"/>
    <x v="313"/>
  </r>
  <r>
    <d v="2013-10-20T00:00:00"/>
    <s v="Southwest"/>
    <x v="21"/>
    <x v="5"/>
  </r>
  <r>
    <d v="2013-10-24T00:00:00"/>
    <s v="Southwest"/>
    <x v="2"/>
    <x v="128"/>
  </r>
  <r>
    <d v="2013-10-24T00:00:00"/>
    <s v="Southwest"/>
    <x v="3"/>
    <x v="29"/>
  </r>
  <r>
    <d v="2013-10-24T00:00:00"/>
    <s v="Southwest"/>
    <x v="18"/>
    <x v="314"/>
  </r>
  <r>
    <d v="2013-10-23T00:00:00"/>
    <s v="Northwest"/>
    <x v="4"/>
    <x v="315"/>
  </r>
  <r>
    <d v="2013-10-21T00:00:00"/>
    <s v="Northwest"/>
    <x v="1"/>
    <x v="316"/>
  </r>
  <r>
    <d v="2013-10-22T00:00:00"/>
    <s v="Northwest"/>
    <x v="4"/>
    <x v="140"/>
  </r>
  <r>
    <d v="2013-10-21T00:00:00"/>
    <s v="Northwest"/>
    <x v="8"/>
    <x v="317"/>
  </r>
  <r>
    <d v="2013-10-24T00:00:00"/>
    <s v="Northwest"/>
    <x v="17"/>
    <x v="318"/>
  </r>
  <r>
    <d v="2013-10-25T00:00:00"/>
    <s v="West"/>
    <x v="3"/>
    <x v="319"/>
  </r>
  <r>
    <d v="2013-10-20T00:00:00"/>
    <s v="Southwest"/>
    <x v="5"/>
    <x v="320"/>
  </r>
  <r>
    <d v="2013-10-20T00:00:00"/>
    <s v="Northwest"/>
    <x v="3"/>
    <x v="321"/>
  </r>
  <r>
    <d v="2013-10-26T00:00:00"/>
    <s v="West"/>
    <x v="17"/>
    <x v="322"/>
  </r>
  <r>
    <d v="2013-10-22T00:00:00"/>
    <s v="Southwest"/>
    <x v="3"/>
    <x v="255"/>
  </r>
  <r>
    <d v="2013-10-26T00:00:00"/>
    <s v="Northwest"/>
    <x v="2"/>
    <x v="323"/>
  </r>
  <r>
    <d v="2013-10-25T00:00:00"/>
    <s v="Southwest"/>
    <x v="3"/>
    <x v="155"/>
  </r>
  <r>
    <d v="2013-10-22T00:00:00"/>
    <s v="Southwest"/>
    <x v="1"/>
    <x v="324"/>
  </r>
  <r>
    <d v="2013-10-21T00:00:00"/>
    <s v="Southwest"/>
    <x v="2"/>
    <x v="307"/>
  </r>
  <r>
    <d v="2013-10-20T00:00:00"/>
    <s v="West"/>
    <x v="2"/>
    <x v="29"/>
  </r>
  <r>
    <d v="2013-10-21T00:00:00"/>
    <s v="Northwest"/>
    <x v="22"/>
    <x v="325"/>
  </r>
  <r>
    <d v="2013-10-21T00:00:00"/>
    <s v="Northwest"/>
    <x v="4"/>
    <x v="326"/>
  </r>
  <r>
    <d v="2013-10-25T00:00:00"/>
    <s v="West"/>
    <x v="23"/>
    <x v="243"/>
  </r>
  <r>
    <d v="2013-10-26T00:00:00"/>
    <s v="Southwest"/>
    <x v="12"/>
    <x v="282"/>
  </r>
  <r>
    <d v="2013-10-22T00:00:00"/>
    <s v="Southwest"/>
    <x v="4"/>
    <x v="149"/>
  </r>
  <r>
    <d v="2013-10-26T00:00:00"/>
    <s v="Southwest"/>
    <x v="20"/>
    <x v="327"/>
  </r>
  <r>
    <d v="2013-10-21T00:00:00"/>
    <s v="Northwest"/>
    <x v="24"/>
    <x v="328"/>
  </r>
  <r>
    <d v="2013-10-20T00:00:00"/>
    <s v="Northwest"/>
    <x v="13"/>
    <x v="163"/>
  </r>
  <r>
    <d v="2013-10-23T00:00:00"/>
    <s v="West"/>
    <x v="2"/>
    <x v="329"/>
  </r>
  <r>
    <d v="2013-10-22T00:00:00"/>
    <s v="Northwest"/>
    <x v="1"/>
    <x v="150"/>
  </r>
  <r>
    <d v="2013-10-21T00:00:00"/>
    <s v="West"/>
    <x v="7"/>
    <x v="15"/>
  </r>
  <r>
    <d v="2013-10-26T00:00:00"/>
    <s v="Southwest"/>
    <x v="8"/>
    <x v="330"/>
  </r>
  <r>
    <d v="2013-10-21T00:00:00"/>
    <s v="West"/>
    <x v="12"/>
    <x v="331"/>
  </r>
  <r>
    <d v="2013-10-25T00:00:00"/>
    <s v="Northwest"/>
    <x v="3"/>
    <x v="332"/>
  </r>
  <r>
    <d v="2013-10-21T00:00:00"/>
    <s v="Southwest"/>
    <x v="14"/>
    <x v="333"/>
  </r>
  <r>
    <d v="2013-10-26T00:00:00"/>
    <s v="West"/>
    <x v="8"/>
    <x v="334"/>
  </r>
  <r>
    <d v="2013-10-22T00:00:00"/>
    <s v="Northwest"/>
    <x v="6"/>
    <x v="335"/>
  </r>
  <r>
    <d v="2013-10-21T00:00:00"/>
    <s v="Northwest"/>
    <x v="8"/>
    <x v="336"/>
  </r>
  <r>
    <d v="2013-10-25T00:00:00"/>
    <s v="Southwest"/>
    <x v="6"/>
    <x v="276"/>
  </r>
  <r>
    <d v="2013-10-23T00:00:00"/>
    <s v="West"/>
    <x v="1"/>
    <x v="89"/>
  </r>
  <r>
    <d v="2013-10-20T00:00:00"/>
    <s v="Northwest"/>
    <x v="6"/>
    <x v="131"/>
  </r>
  <r>
    <d v="2013-10-21T00:00:00"/>
    <s v="Southwest"/>
    <x v="3"/>
    <x v="337"/>
  </r>
  <r>
    <d v="2013-10-22T00:00:00"/>
    <s v="Southwest"/>
    <x v="1"/>
    <x v="338"/>
  </r>
  <r>
    <d v="2013-10-26T00:00:00"/>
    <s v="Northwest"/>
    <x v="2"/>
    <x v="339"/>
  </r>
  <r>
    <d v="2013-10-23T00:00:00"/>
    <s v="Northwest"/>
    <x v="5"/>
    <x v="340"/>
  </r>
  <r>
    <d v="2013-10-21T00:00:00"/>
    <s v="West"/>
    <x v="4"/>
    <x v="341"/>
  </r>
  <r>
    <d v="2013-10-21T00:00:00"/>
    <s v="West"/>
    <x v="9"/>
    <x v="224"/>
  </r>
  <r>
    <d v="2013-10-26T00:00:00"/>
    <s v="Southwest"/>
    <x v="1"/>
    <x v="252"/>
  </r>
  <r>
    <d v="2013-10-23T00:00:00"/>
    <s v="Southwest"/>
    <x v="12"/>
    <x v="52"/>
  </r>
  <r>
    <d v="2013-10-23T00:00:00"/>
    <s v="West"/>
    <x v="13"/>
    <x v="342"/>
  </r>
  <r>
    <d v="2013-10-20T00:00:00"/>
    <s v="Northwest"/>
    <x v="22"/>
    <x v="311"/>
  </r>
  <r>
    <d v="2013-10-23T00:00:00"/>
    <s v="West"/>
    <x v="16"/>
    <x v="343"/>
  </r>
  <r>
    <d v="2013-10-21T00:00:00"/>
    <s v="Southwest"/>
    <x v="3"/>
    <x v="151"/>
  </r>
  <r>
    <d v="2013-10-20T00:00:00"/>
    <s v="Northwest"/>
    <x v="4"/>
    <x v="344"/>
  </r>
  <r>
    <d v="2013-10-25T00:00:00"/>
    <s v="Northwest"/>
    <x v="6"/>
    <x v="345"/>
  </r>
  <r>
    <d v="2013-10-21T00:00:00"/>
    <s v="Northwest"/>
    <x v="4"/>
    <x v="152"/>
  </r>
  <r>
    <d v="2013-10-23T00:00:00"/>
    <s v="Northwest"/>
    <x v="24"/>
    <x v="247"/>
  </r>
  <r>
    <d v="2013-10-23T00:00:00"/>
    <s v="Northwest"/>
    <x v="6"/>
    <x v="346"/>
  </r>
  <r>
    <d v="2013-10-26T00:00:00"/>
    <s v="Southwest"/>
    <x v="6"/>
    <x v="138"/>
  </r>
  <r>
    <d v="2013-10-26T00:00:00"/>
    <s v="West"/>
    <x v="12"/>
    <x v="236"/>
  </r>
  <r>
    <d v="2013-10-26T00:00:00"/>
    <s v="West"/>
    <x v="6"/>
    <x v="57"/>
  </r>
  <r>
    <d v="2013-10-20T00:00:00"/>
    <s v="West"/>
    <x v="22"/>
    <x v="95"/>
  </r>
  <r>
    <d v="2013-10-24T00:00:00"/>
    <s v="West"/>
    <x v="15"/>
    <x v="198"/>
  </r>
  <r>
    <d v="2013-10-26T00:00:00"/>
    <s v="Northwest"/>
    <x v="2"/>
    <x v="151"/>
  </r>
  <r>
    <d v="2013-10-21T00:00:00"/>
    <s v="Southwest"/>
    <x v="15"/>
    <x v="347"/>
  </r>
  <r>
    <d v="2013-10-24T00:00:00"/>
    <s v="Southwest"/>
    <x v="12"/>
    <x v="348"/>
  </r>
  <r>
    <d v="2013-10-23T00:00:00"/>
    <s v="West"/>
    <x v="4"/>
    <x v="349"/>
  </r>
  <r>
    <d v="2013-10-23T00:00:00"/>
    <s v="West"/>
    <x v="5"/>
    <x v="350"/>
  </r>
  <r>
    <d v="2013-10-20T00:00:00"/>
    <s v="Southwest"/>
    <x v="5"/>
    <x v="351"/>
  </r>
  <r>
    <d v="2013-10-23T00:00:00"/>
    <s v="West"/>
    <x v="6"/>
    <x v="266"/>
  </r>
  <r>
    <d v="2013-10-20T00:00:00"/>
    <s v="Southwest"/>
    <x v="12"/>
    <x v="352"/>
  </r>
  <r>
    <d v="2013-10-26T00:00:00"/>
    <s v="West"/>
    <x v="6"/>
    <x v="43"/>
  </r>
  <r>
    <d v="2013-10-23T00:00:00"/>
    <s v="West"/>
    <x v="2"/>
    <x v="123"/>
  </r>
  <r>
    <d v="2013-10-21T00:00:00"/>
    <s v="Northwest"/>
    <x v="5"/>
    <x v="73"/>
  </r>
  <r>
    <d v="2013-10-20T00:00:00"/>
    <s v="West"/>
    <x v="1"/>
    <x v="353"/>
  </r>
  <r>
    <d v="2013-10-22T00:00:00"/>
    <s v="Southwest"/>
    <x v="12"/>
    <x v="103"/>
  </r>
  <r>
    <d v="2013-10-23T00:00:00"/>
    <s v="Southwest"/>
    <x v="17"/>
    <x v="227"/>
  </r>
  <r>
    <d v="2013-10-24T00:00:00"/>
    <s v="Northwest"/>
    <x v="2"/>
    <x v="153"/>
  </r>
  <r>
    <d v="2013-10-23T00:00:00"/>
    <s v="Northwest"/>
    <x v="15"/>
    <x v="215"/>
  </r>
  <r>
    <d v="2013-10-21T00:00:00"/>
    <s v="Southwest"/>
    <x v="17"/>
    <x v="354"/>
  </r>
  <r>
    <d v="2013-10-23T00:00:00"/>
    <s v="Southwest"/>
    <x v="5"/>
    <x v="318"/>
  </r>
  <r>
    <d v="2013-10-22T00:00:00"/>
    <s v="West"/>
    <x v="13"/>
    <x v="355"/>
  </r>
  <r>
    <d v="2013-10-23T00:00:00"/>
    <s v="Northwest"/>
    <x v="19"/>
    <x v="356"/>
  </r>
  <r>
    <d v="2013-10-23T00:00:00"/>
    <s v="Northwest"/>
    <x v="4"/>
    <x v="119"/>
  </r>
  <r>
    <d v="2013-10-24T00:00:00"/>
    <s v="West"/>
    <x v="2"/>
    <x v="221"/>
  </r>
  <r>
    <d v="2013-10-20T00:00:00"/>
    <s v="Southwest"/>
    <x v="3"/>
    <x v="15"/>
  </r>
  <r>
    <d v="2013-10-22T00:00:00"/>
    <s v="Southwest"/>
    <x v="21"/>
    <x v="357"/>
  </r>
  <r>
    <d v="2013-10-22T00:00:00"/>
    <s v="Northwest"/>
    <x v="8"/>
    <x v="130"/>
  </r>
  <r>
    <d v="2013-10-23T00:00:00"/>
    <s v="West"/>
    <x v="0"/>
    <x v="358"/>
  </r>
  <r>
    <d v="2013-10-21T00:00:00"/>
    <s v="Northwest"/>
    <x v="2"/>
    <x v="309"/>
  </r>
  <r>
    <d v="2013-10-23T00:00:00"/>
    <s v="Southwest"/>
    <x v="4"/>
    <x v="359"/>
  </r>
  <r>
    <d v="2013-10-24T00:00:00"/>
    <s v="West"/>
    <x v="2"/>
    <x v="197"/>
  </r>
  <r>
    <d v="2013-10-25T00:00:00"/>
    <s v="West"/>
    <x v="6"/>
    <x v="360"/>
  </r>
  <r>
    <d v="2013-10-21T00:00:00"/>
    <s v="West"/>
    <x v="12"/>
    <x v="199"/>
  </r>
  <r>
    <d v="2013-10-22T00:00:00"/>
    <s v="West"/>
    <x v="15"/>
    <x v="259"/>
  </r>
  <r>
    <d v="2013-10-23T00:00:00"/>
    <s v="Northwest"/>
    <x v="13"/>
    <x v="283"/>
  </r>
  <r>
    <d v="2013-10-24T00:00:00"/>
    <s v="Southwest"/>
    <x v="1"/>
    <x v="361"/>
  </r>
  <r>
    <d v="2013-10-23T00:00:00"/>
    <s v="West"/>
    <x v="10"/>
    <x v="111"/>
  </r>
  <r>
    <d v="2013-10-22T00:00:00"/>
    <s v="West"/>
    <x v="1"/>
    <x v="362"/>
  </r>
  <r>
    <d v="2013-10-20T00:00:00"/>
    <s v="Southwest"/>
    <x v="0"/>
    <x v="277"/>
  </r>
  <r>
    <d v="2013-10-23T00:00:00"/>
    <s v="Northwest"/>
    <x v="2"/>
    <x v="220"/>
  </r>
  <r>
    <d v="2013-10-22T00:00:00"/>
    <s v="West"/>
    <x v="13"/>
    <x v="363"/>
  </r>
  <r>
    <d v="2013-10-21T00:00:00"/>
    <s v="Northwest"/>
    <x v="14"/>
    <x v="364"/>
  </r>
  <r>
    <d v="2013-10-25T00:00:00"/>
    <s v="Southwest"/>
    <x v="8"/>
    <x v="141"/>
  </r>
  <r>
    <d v="2013-10-25T00:00:00"/>
    <s v="Southwest"/>
    <x v="16"/>
    <x v="329"/>
  </r>
  <r>
    <d v="2013-10-22T00:00:00"/>
    <s v="West"/>
    <x v="14"/>
    <x v="365"/>
  </r>
  <r>
    <d v="2013-10-25T00:00:00"/>
    <s v="Southwest"/>
    <x v="5"/>
    <x v="366"/>
  </r>
  <r>
    <d v="2013-10-26T00:00:00"/>
    <s v="Southwest"/>
    <x v="1"/>
    <x v="210"/>
  </r>
  <r>
    <d v="2013-10-26T00:00:00"/>
    <s v="West"/>
    <x v="9"/>
    <x v="154"/>
  </r>
  <r>
    <d v="2013-10-23T00:00:00"/>
    <s v="Southwest"/>
    <x v="3"/>
    <x v="367"/>
  </r>
  <r>
    <d v="2013-10-22T00:00:00"/>
    <s v="Southwest"/>
    <x v="8"/>
    <x v="368"/>
  </r>
  <r>
    <d v="2013-10-20T00:00:00"/>
    <s v="West"/>
    <x v="5"/>
    <x v="104"/>
  </r>
  <r>
    <d v="2013-10-20T00:00:00"/>
    <s v="West"/>
    <x v="17"/>
    <x v="369"/>
  </r>
  <r>
    <d v="2013-10-21T00:00:00"/>
    <s v="Northwest"/>
    <x v="16"/>
    <x v="1"/>
  </r>
  <r>
    <d v="2013-10-21T00:00:00"/>
    <s v="Northwest"/>
    <x v="12"/>
    <x v="234"/>
  </r>
  <r>
    <d v="2013-10-26T00:00:00"/>
    <s v="Northwest"/>
    <x v="3"/>
    <x v="233"/>
  </r>
  <r>
    <d v="2013-10-25T00:00:00"/>
    <s v="West"/>
    <x v="8"/>
    <x v="316"/>
  </r>
  <r>
    <d v="2013-10-22T00:00:00"/>
    <s v="Northwest"/>
    <x v="23"/>
    <x v="370"/>
  </r>
  <r>
    <d v="2013-10-25T00:00:00"/>
    <s v="West"/>
    <x v="9"/>
    <x v="34"/>
  </r>
  <r>
    <d v="2013-10-24T00:00:00"/>
    <s v="Northwest"/>
    <x v="12"/>
    <x v="128"/>
  </r>
  <r>
    <d v="2013-10-24T00:00:00"/>
    <s v="West"/>
    <x v="2"/>
    <x v="202"/>
  </r>
  <r>
    <d v="2013-10-22T00:00:00"/>
    <s v="Southwest"/>
    <x v="1"/>
    <x v="15"/>
  </r>
  <r>
    <d v="2013-10-21T00:00:00"/>
    <s v="West"/>
    <x v="14"/>
    <x v="371"/>
  </r>
  <r>
    <d v="2013-10-23T00:00:00"/>
    <s v="Southwest"/>
    <x v="13"/>
    <x v="40"/>
  </r>
  <r>
    <d v="2013-10-25T00:00:00"/>
    <s v="Northwest"/>
    <x v="2"/>
    <x v="372"/>
  </r>
  <r>
    <d v="2013-10-25T00:00:00"/>
    <s v="Northwest"/>
    <x v="6"/>
    <x v="75"/>
  </r>
  <r>
    <d v="2013-10-26T00:00:00"/>
    <s v="West"/>
    <x v="4"/>
    <x v="373"/>
  </r>
  <r>
    <d v="2013-10-26T00:00:00"/>
    <s v="Northwest"/>
    <x v="6"/>
    <x v="114"/>
  </r>
  <r>
    <d v="2013-10-21T00:00:00"/>
    <s v="Northwest"/>
    <x v="2"/>
    <x v="67"/>
  </r>
  <r>
    <d v="2013-10-23T00:00:00"/>
    <s v="Southwest"/>
    <x v="2"/>
    <x v="374"/>
  </r>
  <r>
    <d v="2013-10-22T00:00:00"/>
    <s v="Northwest"/>
    <x v="5"/>
    <x v="342"/>
  </r>
  <r>
    <d v="2013-10-24T00:00:00"/>
    <s v="Northwest"/>
    <x v="2"/>
    <x v="375"/>
  </r>
  <r>
    <d v="2013-10-25T00:00:00"/>
    <s v="Southwest"/>
    <x v="23"/>
    <x v="376"/>
  </r>
  <r>
    <d v="2013-10-26T00:00:00"/>
    <s v="West"/>
    <x v="2"/>
    <x v="264"/>
  </r>
  <r>
    <d v="2013-10-21T00:00:00"/>
    <s v="Southwest"/>
    <x v="7"/>
    <x v="377"/>
  </r>
  <r>
    <d v="2013-10-21T00:00:00"/>
    <s v="Northwest"/>
    <x v="3"/>
    <x v="126"/>
  </r>
  <r>
    <d v="2013-10-24T00:00:00"/>
    <s v="Southwest"/>
    <x v="13"/>
    <x v="216"/>
  </r>
  <r>
    <d v="2013-10-24T00:00:00"/>
    <s v="Northwest"/>
    <x v="1"/>
    <x v="70"/>
  </r>
  <r>
    <d v="2013-10-24T00:00:00"/>
    <s v="Southwest"/>
    <x v="6"/>
    <x v="100"/>
  </r>
  <r>
    <d v="2013-10-20T00:00:00"/>
    <s v="Northwest"/>
    <x v="12"/>
    <x v="69"/>
  </r>
  <r>
    <d v="2013-10-26T00:00:00"/>
    <s v="Southwest"/>
    <x v="12"/>
    <x v="232"/>
  </r>
  <r>
    <d v="2013-10-22T00:00:00"/>
    <s v="Southwest"/>
    <x v="8"/>
    <x v="378"/>
  </r>
  <r>
    <d v="2013-10-20T00:00:00"/>
    <s v="Southwest"/>
    <x v="2"/>
    <x v="17"/>
  </r>
  <r>
    <d v="2013-10-25T00:00:00"/>
    <s v="Southwest"/>
    <x v="5"/>
    <x v="379"/>
  </r>
  <r>
    <d v="2013-10-20T00:00:00"/>
    <s v="Southwest"/>
    <x v="3"/>
    <x v="380"/>
  </r>
  <r>
    <d v="2013-10-26T00:00:00"/>
    <s v="Northwest"/>
    <x v="7"/>
    <x v="381"/>
  </r>
  <r>
    <d v="2013-10-22T00:00:00"/>
    <s v="Northwest"/>
    <x v="0"/>
    <x v="382"/>
  </r>
  <r>
    <d v="2013-10-26T00:00:00"/>
    <s v="West"/>
    <x v="6"/>
    <x v="383"/>
  </r>
  <r>
    <d v="2013-10-21T00:00:00"/>
    <s v="Northwest"/>
    <x v="11"/>
    <x v="175"/>
  </r>
  <r>
    <d v="2013-10-26T00:00:00"/>
    <s v="Northwest"/>
    <x v="7"/>
    <x v="96"/>
  </r>
  <r>
    <d v="2013-10-22T00:00:00"/>
    <s v="West"/>
    <x v="9"/>
    <x v="384"/>
  </r>
  <r>
    <d v="2013-10-22T00:00:00"/>
    <s v="West"/>
    <x v="3"/>
    <x v="101"/>
  </r>
  <r>
    <d v="2013-10-22T00:00:00"/>
    <s v="Southwest"/>
    <x v="22"/>
    <x v="100"/>
  </r>
  <r>
    <d v="2013-10-20T00:00:00"/>
    <s v="West"/>
    <x v="2"/>
    <x v="385"/>
  </r>
  <r>
    <d v="2013-10-26T00:00:00"/>
    <s v="Northwest"/>
    <x v="22"/>
    <x v="209"/>
  </r>
  <r>
    <d v="2013-10-24T00:00:00"/>
    <s v="Northwest"/>
    <x v="13"/>
    <x v="241"/>
  </r>
  <r>
    <d v="2013-10-24T00:00:00"/>
    <s v="Southwest"/>
    <x v="0"/>
    <x v="275"/>
  </r>
  <r>
    <d v="2013-10-20T00:00:00"/>
    <s v="Southwest"/>
    <x v="2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6C7615-3967-4544-943F-9FDE96242E78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>
  <location ref="H9:I14" firstHeaderRow="1" firstDataRow="1" firstDataCol="1"/>
  <pivotFields count="3">
    <pivotField compact="0" numFmtId="14" outline="0" showAll="0"/>
    <pivotField axis="axisRow" compact="0" outline="0" showAll="0">
      <items count="5">
        <item x="0"/>
        <item x="3"/>
        <item x="2"/>
        <item x="1"/>
        <item t="default"/>
      </items>
    </pivotField>
    <pivotField dataField="1" compact="0" outline="0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Units Sold" fld="2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1ECA92-00E8-45F1-9DC5-4B6C55C6F6FF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E3:F8" firstHeaderRow="1" firstDataRow="1" firstDataCol="1"/>
  <pivotFields count="3">
    <pivotField compact="0" numFmtId="14" outline="0" showAll="0"/>
    <pivotField axis="axisRow" compact="0" outline="0" showAll="0">
      <items count="5">
        <item x="0"/>
        <item x="3"/>
        <item x="2"/>
        <item x="1"/>
        <item t="default"/>
      </items>
    </pivotField>
    <pivotField dataField="1" compact="0" outline="0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Units Sold" fld="2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E2E90-9486-48D9-8B66-EDE6516B946F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>
  <location ref="G4:H30" firstHeaderRow="1" firstDataRow="1" firstDataCol="1"/>
  <pivotFields count="4">
    <pivotField compact="0" numFmtId="167" outline="0" showAll="0"/>
    <pivotField compact="0" outline="0" showAll="0"/>
    <pivotField axis="axisRow" compact="0" outline="0" showAll="0">
      <items count="26">
        <item x="22"/>
        <item x="7"/>
        <item x="3"/>
        <item x="2"/>
        <item x="11"/>
        <item x="20"/>
        <item x="1"/>
        <item x="18"/>
        <item x="10"/>
        <item x="16"/>
        <item x="23"/>
        <item x="0"/>
        <item x="21"/>
        <item x="13"/>
        <item x="4"/>
        <item x="24"/>
        <item x="6"/>
        <item x="8"/>
        <item x="5"/>
        <item x="12"/>
        <item x="17"/>
        <item x="19"/>
        <item x="15"/>
        <item x="9"/>
        <item x="14"/>
        <item t="default"/>
      </items>
    </pivotField>
    <pivotField dataField="1" compact="0" numFmtId="164" outline="0" showAll="0"/>
  </pivotFields>
  <rowFields count="1">
    <field x="2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Sum of Sales" fld="3" baseField="0" baseItem="0" numFmtId="168"/>
  </dataFields>
  <formats count="2">
    <format dxfId="4">
      <pivotArea outline="0" collapsedLevelsAreSubtotals="1" fieldPosition="0"/>
    </format>
    <format dxfId="3">
      <pivotArea dataOnly="0" labelOnly="1" outline="0" axis="axisValues" fieldPosition="0"/>
    </format>
  </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D0137F-E9A3-4F79-B91A-2AD8D7512B0C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F3:G29" firstHeaderRow="1" firstDataRow="1" firstDataCol="1"/>
  <pivotFields count="4">
    <pivotField compact="0" numFmtId="167" outline="0" showAll="0"/>
    <pivotField compact="0" outline="0" showAll="0"/>
    <pivotField axis="axisRow" compact="0" outline="0" showAll="0">
      <items count="26">
        <item x="22"/>
        <item x="7"/>
        <item x="3"/>
        <item x="2"/>
        <item x="11"/>
        <item x="20"/>
        <item x="1"/>
        <item x="18"/>
        <item x="10"/>
        <item x="16"/>
        <item x="23"/>
        <item x="0"/>
        <item x="21"/>
        <item x="13"/>
        <item x="4"/>
        <item x="24"/>
        <item x="6"/>
        <item x="8"/>
        <item x="5"/>
        <item x="12"/>
        <item x="17"/>
        <item x="19"/>
        <item x="15"/>
        <item x="9"/>
        <item x="14"/>
        <item t="default"/>
      </items>
    </pivotField>
    <pivotField dataField="1" compact="0" numFmtId="164" outline="0" showAll="0"/>
  </pivotFields>
  <rowFields count="1">
    <field x="2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Sum of Sales" fld="3" baseField="0" baseItem="0" numFmtId="16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5DA21E-42F7-4F5F-8164-154C72F9F310}" name="PriceLookup" displayName="PriceLookup" ref="A23:D29" totalsRowShown="0" headerRowDxfId="57" headerRowBorderDxfId="56" tableBorderDxfId="55" totalsRowBorderDxfId="54" headerRowCellStyle="blue">
  <autoFilter ref="A23:D29" xr:uid="{B25DA21E-42F7-4F5F-8164-154C72F9F310}"/>
  <tableColumns count="4">
    <tableColumn id="1" xr3:uid="{7C28455D-8A24-423C-B9B1-7315C54CB33F}" name="Product" dataDxfId="53" dataCellStyle="Normal 2"/>
    <tableColumn id="2" xr3:uid="{2B90A348-85E3-4026-AB30-E5B9151A0546}" name="Supplier" dataDxfId="52" dataCellStyle="Normal 2"/>
    <tableColumn id="3" xr3:uid="{E6A7EC95-5331-45BA-AF91-AD64F7E5469C}" name="Cost" dataDxfId="51" dataCellStyle="Normal 2"/>
    <tableColumn id="4" xr3:uid="{415E513D-975A-4688-BA61-C954EBEEFE87}" name="Retail Price" dataDxfId="50" dataCellStyle="Normal 2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739466D-9198-43F1-B893-887B8DD7109D}" name="PriceLookupAnswer" displayName="PriceLookupAnswer" ref="A23:D29" totalsRowShown="0" headerRowDxfId="49" headerRowBorderDxfId="48" tableBorderDxfId="47" totalsRowBorderDxfId="46" headerRowCellStyle="blue">
  <autoFilter ref="A23:D29" xr:uid="{32211953-C2C9-4432-8673-AA19969349B5}"/>
  <tableColumns count="4">
    <tableColumn id="1" xr3:uid="{C18667DE-6F7B-4649-82F1-61654DB88D2A}" name="Product" dataDxfId="45" dataCellStyle="Normal 2"/>
    <tableColumn id="2" xr3:uid="{C474D090-1812-486A-AD13-EFC319B5207A}" name="Supplier" dataDxfId="44" dataCellStyle="Normal 2"/>
    <tableColumn id="3" xr3:uid="{8E9281BE-7FC5-4A3E-A3CF-7F6C7E72A575}" name="Cost" dataDxfId="43" dataCellStyle="Normal 2"/>
    <tableColumn id="4" xr3:uid="{826F616A-CE39-4542-9817-3C88426ED37F}" name="Retail Price" dataDxfId="42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E9583D8-98E5-4F1A-80DF-62E8C81780EE}" name="MySales" displayName="MySales" ref="A4:B7" totalsRowShown="0" headerRowDxfId="41">
  <autoFilter ref="A4:B7" xr:uid="{4E9583D8-98E5-4F1A-80DF-62E8C81780EE}"/>
  <tableColumns count="2">
    <tableColumn id="1" xr3:uid="{B71975C9-FA9C-484F-82A3-472AAF593E2C}" name="Date" dataDxfId="40"/>
    <tableColumn id="2" xr3:uid="{402A9782-4F5B-4F61-8F22-5E1EE45FFDB2}" name="Your Name Sales" dataDxfId="3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659F9C-33E9-4167-BFDA-8F56E3CB732B}" name="MySalesAnswer" displayName="MySalesAnswer" ref="A4:B8" totalsRowShown="0" headerRowDxfId="38">
  <autoFilter ref="A4:B8" xr:uid="{FA6E7B18-F0A2-4CAF-8EBA-D9082C54FD00}"/>
  <tableColumns count="2">
    <tableColumn id="1" xr3:uid="{2E26E822-0D3B-472F-B45F-685DC140C37E}" name="Date" dataDxfId="37"/>
    <tableColumn id="2" xr3:uid="{7ABCF69C-8079-4EAC-85FC-8CDF24B17916}" name="Your Name Sales" dataDxfId="3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F87DBE2-E8F1-46F9-96B8-28C0133CA815}" name="unitssalestable" displayName="unitssalestable" ref="A3:C21" totalsRowShown="0" headerRowDxfId="35">
  <autoFilter ref="A3:C21" xr:uid="{AF87DBE2-E8F1-46F9-96B8-28C0133CA815}"/>
  <tableColumns count="3">
    <tableColumn id="1" xr3:uid="{7FF8587D-63F2-4B41-8039-2375196ECFCA}" name="Date" dataDxfId="34"/>
    <tableColumn id="2" xr3:uid="{CF20D600-E4C3-4845-8BDE-8F9E9934BE63}" name="Product"/>
    <tableColumn id="3" xr3:uid="{DD254838-D6E7-4D8B-8A1D-3EAE4F119140}" name="Units Sold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306572-4D65-408F-A636-635DAF2E6AAD}" name="UnitSalesTableAnswer" displayName="UnitSalesTableAnswer" ref="A3:C29" totalsRowShown="0" headerRowDxfId="33">
  <autoFilter ref="A3:C29" xr:uid="{E605044D-B9A6-4DD4-8633-9A22858E7A7D}"/>
  <tableColumns count="3">
    <tableColumn id="1" xr3:uid="{60E79000-6116-41AB-888D-5F9B57759FA8}" name="Date" dataDxfId="32"/>
    <tableColumn id="2" xr3:uid="{08ECD797-4F50-42C7-89A5-DE5B86BBB43C}" name="Product"/>
    <tableColumn id="3" xr3:uid="{D46A955C-AB94-4326-8A3B-E5A7F49BAC0A}" name="Units Sold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0E0EBAE-ABAB-4EFA-9616-BA93B7FA3283}" name="ProductUnittable" displayName="ProductUnittable" ref="A3:C958" totalsRowShown="0" headerRowDxfId="31">
  <autoFilter ref="A3:C958" xr:uid="{40E0EBAE-ABAB-4EFA-9616-BA93B7FA3283}"/>
  <tableColumns count="3">
    <tableColumn id="1" xr3:uid="{C2FB7130-9A25-4038-987F-0656872E3E81}" name="Date" dataDxfId="30"/>
    <tableColumn id="2" xr3:uid="{8F4BFE21-F5CD-458F-AC56-4F717E82AB32}" name="Product"/>
    <tableColumn id="3" xr3:uid="{0ED92603-7147-4F72-8CD4-979DCEE55EEF}" name="Units Sold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A5DD90-7605-4787-B4AB-5F942CCBE46A}" name="ProductUnitsTableAnswer" displayName="ProductUnitsTableAnswer" ref="A3:C958" totalsRowShown="0" headerRowDxfId="29">
  <autoFilter ref="A3:C958" xr:uid="{697F721A-3DBC-4CEF-AF74-7D45F431C3DD}"/>
  <tableColumns count="3">
    <tableColumn id="1" xr3:uid="{D821824D-606D-4CD8-AA2C-4382398DB108}" name="Date" dataDxfId="28"/>
    <tableColumn id="2" xr3:uid="{E7773A81-CD48-40DF-A8C9-CF3A53C3ECFA}" name="Product"/>
    <tableColumn id="3" xr3:uid="{8D67392F-CAC6-4468-8DF6-EE20617AC114}" name="Units Sol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58F6BD-1D9C-48D6-BF25-849E6B554874}" name="RevenueTable" displayName="RevenueTable" ref="A19:G655" totalsRowShown="0" headerRowDxfId="27">
  <autoFilter ref="A19:G655" xr:uid="{C3F937A4-BE6E-4FF8-82A1-4AF46221C1A6}"/>
  <tableColumns count="7">
    <tableColumn id="1" xr3:uid="{3D24BF98-AA28-43F2-8EB2-DCF288A7CD9D}" name="Date" dataDxfId="26"/>
    <tableColumn id="2" xr3:uid="{3A03AEFB-787C-4E11-96BC-45F73B342801}" name="Product"/>
    <tableColumn id="3" xr3:uid="{79E41C93-6C20-4364-8F10-F395EA4966BE}" name="Units Sold"/>
    <tableColumn id="4" xr3:uid="{62F35320-CA6F-498D-BDED-235753B2B7D9}" name="Price Each" dataDxfId="25"/>
    <tableColumn id="5" xr3:uid="{F39889DA-FDA3-47AE-A083-C13B3AD277A0}" name="Total Revenue" dataDxfId="24"/>
    <tableColumn id="6" xr3:uid="{EC369007-EF7F-41D0-B1DF-9040E1E315D1}" name="Discount on Total Revenue" dataDxfId="23">
      <calculatedColumnFormula>VLOOKUP(RevenueTable[[#This Row],[Units Sold]],Discounttable[],2)</calculatedColumnFormula>
    </tableColumn>
    <tableColumn id="7" xr3:uid="{0761E1E7-656A-4F5F-9A55-DCED9429BE64}" name="Net Revenue" dataDxfId="22">
      <calculatedColumnFormula>ROUND((1-RevenueTable[[#This Row],[Discount on Total Revenue]])*RevenueTable[[#This Row],[Total Revenue]],2)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4BD2FA5-7DA8-4022-AE92-ED68F022E22A}" name="Discounttable" displayName="Discounttable" ref="M19:N25" totalsRowShown="0">
  <autoFilter ref="M19:N25" xr:uid="{54BD2FA5-7DA8-4022-AE92-ED68F022E22A}"/>
  <tableColumns count="2">
    <tableColumn id="1" xr3:uid="{53A92598-D2EB-44A4-8111-9223A402E84B}" name="Units"/>
    <tableColumn id="2" xr3:uid="{62A28D36-15C1-4F0C-9D2F-724F64B1328C}" name="Discoun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EACD5DF-09BE-45FD-865C-76BD3BB1CDCB}" name="RevenueTableAnswer" displayName="RevenueTableAnswer" ref="A19:G655" totalsRowShown="0" headerRowDxfId="21">
  <autoFilter ref="A19:G655" xr:uid="{C3F937A4-BE6E-4FF8-82A1-4AF46221C1A6}"/>
  <tableColumns count="7">
    <tableColumn id="1" xr3:uid="{98E67F9D-285D-40B6-9506-ED5DD5E29591}" name="Date" dataDxfId="20"/>
    <tableColumn id="2" xr3:uid="{ECE3A03E-D67D-4E74-AF2B-E479D118D7AF}" name="Product"/>
    <tableColumn id="3" xr3:uid="{69367002-491D-40CA-A564-7F13EEFB1735}" name="Units Sold"/>
    <tableColumn id="4" xr3:uid="{BAE10E61-D023-42E3-9339-F4A9B6A5B9CB}" name="Price Each" dataDxfId="19"/>
    <tableColumn id="5" xr3:uid="{9A6A23B3-0B60-4CC1-AC6B-155D1FD686BA}" name="Total Revenue" dataDxfId="18"/>
    <tableColumn id="6" xr3:uid="{67560D7D-F01D-4A41-977A-A9F5F5D87643}" name="Discount on Total Revenue" dataDxfId="17">
      <calculatedColumnFormula>VLOOKUP(RevenueTableAnswer[[#This Row],[Units Sold]],DiscountTableAnswer[],2)</calculatedColumnFormula>
    </tableColumn>
    <tableColumn id="7" xr3:uid="{592F86A4-9D34-4F7B-A0F3-F4ADA5781DDA}" name="Net Revenue" dataDxfId="16">
      <calculatedColumnFormula>ROUND((1-RevenueTableAnswer[[#This Row],[Discount on Total Revenue]])*RevenueTableAnswer[[#This Row],[Total Revenue]],2)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2441BA1-79FD-44EC-BA04-15D625ACC3A9}" name="DiscountTableAnswer" displayName="DiscountTableAnswer" ref="J19:K25" totalsRowShown="0" headerRowDxfId="15">
  <autoFilter ref="J19:K25" xr:uid="{B1C8A023-81B2-48A8-9ECE-0546652F5132}"/>
  <tableColumns count="2">
    <tableColumn id="1" xr3:uid="{6783C395-85ED-4DA8-B04D-87574553BC41}" name="Units"/>
    <tableColumn id="2" xr3:uid="{3EEF1345-30EA-45B4-A67B-D54E5AA99297}" name="Discount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A53FD5D-BE34-43B0-A04A-058224864B3A}" name="SalesRepSalesTableAnswer" displayName="SalesRepSalesTableAnswer" ref="A3:D585" totalsRowShown="0" headerRowDxfId="14" headerRowBorderDxfId="13" tableBorderDxfId="12" totalsRowBorderDxfId="11">
  <autoFilter ref="A3:D585" xr:uid="{189A241B-DFB1-4A44-B768-F88BDA895452}"/>
  <tableColumns count="4">
    <tableColumn id="1" xr3:uid="{E793227E-E414-43CD-B51A-2113AC1639E3}" name="Date" dataDxfId="10"/>
    <tableColumn id="2" xr3:uid="{5BEAF8CD-8CAF-4778-BB7A-65676A410CEC}" name="Region" dataDxfId="9"/>
    <tableColumn id="3" xr3:uid="{E5521A5C-B326-4572-927E-6553D9EAC54A}" name="SalesRep" dataDxfId="8"/>
    <tableColumn id="4" xr3:uid="{CDD97982-A214-4B9B-BE77-506E1461A842}" name="Sales" dataDxfId="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52B7A76-9E26-4C8B-A9BD-040A11BE1D2A}" name="Geradetable" displayName="Geradetable" ref="A8:B15" totalsRowShown="0" headerRowDxfId="1">
  <autoFilter ref="A8:B15" xr:uid="{452B7A76-9E26-4C8B-A9BD-040A11BE1D2A}"/>
  <tableColumns count="2">
    <tableColumn id="1" xr3:uid="{8DDBAC10-2CCF-47C0-A4A9-6F428F211034}" name="Class"/>
    <tableColumn id="2" xr3:uid="{346DA847-F737-4FDD-A3A3-B3BF0D5FB53F}" name="Grade" dataDxfId="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7D917F0-B889-4C25-99AE-B4651C336C85}" name="GradeTableAnswer" displayName="GradeTableAnswer" ref="A8:B15" totalsRowShown="0" headerRowDxfId="6">
  <autoFilter ref="A8:B15" xr:uid="{BF04C6B8-E640-4ADC-AB16-900AD3C902A4}"/>
  <sortState xmlns:xlrd2="http://schemas.microsoft.com/office/spreadsheetml/2017/richdata2" ref="A9:B15">
    <sortCondition ref="B8:B15"/>
  </sortState>
  <tableColumns count="2">
    <tableColumn id="1" xr3:uid="{68DDCF05-2E1A-4343-A399-88EFB74ECEDB}" name="Class"/>
    <tableColumn id="2" xr3:uid="{51CB2278-57A2-404A-96EF-DC21ABCB31EE}" name="Grade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zoomScale="85" zoomScaleNormal="85" workbookViewId="0">
      <selection activeCell="AB17" sqref="AB17"/>
    </sheetView>
  </sheetViews>
  <sheetFormatPr defaultRowHeight="14.4" x14ac:dyDescent="0.3"/>
  <cols>
    <col min="11" max="11" width="30.44140625" customWidth="1"/>
  </cols>
  <sheetData>
    <row r="1" spans="1:20" ht="15" thickBo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30" thickTop="1" x14ac:dyDescent="0.55000000000000004">
      <c r="A2" s="1"/>
      <c r="B2" s="31" t="s">
        <v>17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23.4" x14ac:dyDescent="0.45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</row>
    <row r="4" spans="1:20" ht="25.8" x14ac:dyDescent="0.5">
      <c r="A4" s="1"/>
      <c r="B4" s="4"/>
      <c r="C4" s="5"/>
      <c r="D4" s="5"/>
      <c r="E4" s="5"/>
      <c r="F4" s="5"/>
      <c r="G4" s="5"/>
      <c r="H4" s="12"/>
      <c r="I4" s="12"/>
      <c r="J4" s="15"/>
      <c r="K4" s="16"/>
      <c r="L4" s="17"/>
      <c r="M4" s="5"/>
      <c r="N4" s="5"/>
      <c r="O4" s="5"/>
      <c r="P4" s="30" t="s">
        <v>16</v>
      </c>
      <c r="Q4" s="5"/>
      <c r="R4" s="5"/>
      <c r="S4" s="6"/>
      <c r="T4" s="1"/>
    </row>
    <row r="5" spans="1:20" ht="22.2" x14ac:dyDescent="0.45">
      <c r="A5" s="1"/>
      <c r="B5" s="8"/>
      <c r="C5" s="9"/>
      <c r="D5" s="9"/>
      <c r="E5" s="9"/>
      <c r="F5" s="9"/>
      <c r="G5" s="9"/>
      <c r="H5" s="12"/>
      <c r="I5" s="12"/>
      <c r="J5" s="15"/>
      <c r="K5" s="16"/>
      <c r="L5" s="57"/>
      <c r="M5" s="11" t="s">
        <v>0</v>
      </c>
      <c r="N5" s="58"/>
      <c r="O5" s="9"/>
      <c r="P5" s="9"/>
      <c r="Q5" s="9"/>
      <c r="R5" s="9"/>
      <c r="S5" s="10"/>
      <c r="T5" s="1"/>
    </row>
    <row r="6" spans="1:20" ht="22.2" x14ac:dyDescent="0.45">
      <c r="A6" s="1"/>
      <c r="B6" s="8"/>
      <c r="C6" s="9"/>
      <c r="D6" s="9"/>
      <c r="E6" s="9"/>
      <c r="F6" s="9"/>
      <c r="G6" s="9"/>
      <c r="H6" s="12"/>
      <c r="I6" s="12"/>
      <c r="J6" s="15"/>
      <c r="K6" s="16"/>
      <c r="L6" s="15">
        <v>1</v>
      </c>
      <c r="M6" s="16" t="str">
        <f>'VLOOKUP DVL'!A13</f>
        <v>Example 1: Excel Table feature for VLOOKUP &amp; Data Validation List</v>
      </c>
      <c r="N6" s="58"/>
      <c r="O6" s="12"/>
      <c r="P6" s="9"/>
      <c r="Q6" s="7"/>
      <c r="R6" s="12"/>
      <c r="S6" s="13"/>
      <c r="T6" s="1"/>
    </row>
    <row r="7" spans="1:20" ht="15.6" x14ac:dyDescent="0.3">
      <c r="A7" s="1"/>
      <c r="B7" s="14"/>
      <c r="C7" s="12"/>
      <c r="D7" s="12"/>
      <c r="E7" s="12"/>
      <c r="F7" s="12"/>
      <c r="G7" s="12"/>
      <c r="H7" s="12"/>
      <c r="I7" s="12"/>
      <c r="J7" s="15"/>
      <c r="K7" s="16"/>
      <c r="L7" s="15">
        <v>2</v>
      </c>
      <c r="M7" s="16" t="str">
        <f>'Chart (an)'!A1</f>
        <v>Example 2: Excel Table feature for Chart</v>
      </c>
      <c r="N7" s="58"/>
      <c r="O7" s="12"/>
      <c r="P7" s="12"/>
      <c r="Q7" s="12"/>
      <c r="R7" s="12"/>
      <c r="S7" s="13"/>
      <c r="T7" s="1"/>
    </row>
    <row r="8" spans="1:20" ht="15.6" x14ac:dyDescent="0.3">
      <c r="A8" s="1"/>
      <c r="B8" s="14"/>
      <c r="C8" s="12"/>
      <c r="D8" s="12"/>
      <c r="E8" s="12"/>
      <c r="F8" s="12"/>
      <c r="G8" s="12"/>
      <c r="H8" s="12"/>
      <c r="I8" s="12"/>
      <c r="J8" s="15"/>
      <c r="K8" s="16"/>
      <c r="L8" s="15">
        <v>3</v>
      </c>
      <c r="M8" s="16" t="str">
        <f>'PivotTable (an)'!A1</f>
        <v>Example 3: Excel Table feature for PivotTable</v>
      </c>
      <c r="N8" s="58"/>
      <c r="O8" s="12"/>
      <c r="P8" s="12"/>
      <c r="Q8" s="12"/>
      <c r="R8" s="12"/>
      <c r="S8" s="13"/>
      <c r="T8" s="1"/>
    </row>
    <row r="9" spans="1:20" ht="15.6" x14ac:dyDescent="0.3">
      <c r="A9" s="1"/>
      <c r="B9" s="14"/>
      <c r="C9" s="12"/>
      <c r="D9" s="12"/>
      <c r="E9" s="12"/>
      <c r="F9" s="12"/>
      <c r="G9" s="12"/>
      <c r="H9" s="12"/>
      <c r="I9" s="12"/>
      <c r="J9" s="15"/>
      <c r="K9" s="16"/>
      <c r="L9" s="15">
        <v>4</v>
      </c>
      <c r="M9" s="16" t="str">
        <f>'SUM (an)'!A1</f>
        <v>Example 4: Excel Table feature for Other Formulas</v>
      </c>
      <c r="N9" s="58"/>
      <c r="O9" s="12"/>
      <c r="P9" s="12"/>
      <c r="Q9" s="12"/>
      <c r="R9" s="12"/>
      <c r="S9" s="13"/>
      <c r="T9" s="1"/>
    </row>
    <row r="10" spans="1:20" ht="22.2" x14ac:dyDescent="0.45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6"/>
      <c r="L10" s="15">
        <v>5</v>
      </c>
      <c r="M10" s="16" t="s">
        <v>108</v>
      </c>
      <c r="N10" s="9"/>
      <c r="O10" s="12"/>
      <c r="P10" s="12"/>
      <c r="Q10" s="12"/>
      <c r="R10" s="12"/>
      <c r="S10" s="13"/>
      <c r="T10" s="1"/>
    </row>
    <row r="11" spans="1:20" ht="22.2" x14ac:dyDescent="0.45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6"/>
      <c r="L11" s="15"/>
      <c r="M11" s="16" t="s">
        <v>109</v>
      </c>
      <c r="N11" s="9"/>
      <c r="O11" s="12"/>
      <c r="P11" s="12"/>
      <c r="Q11" s="12"/>
      <c r="R11" s="12"/>
      <c r="S11" s="13"/>
      <c r="T11" s="1"/>
    </row>
    <row r="12" spans="1:20" ht="22.2" x14ac:dyDescent="0.45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6"/>
      <c r="L12" s="15"/>
      <c r="M12" s="16"/>
      <c r="N12" s="9"/>
      <c r="O12" s="12"/>
      <c r="P12" s="12"/>
      <c r="Q12" s="12"/>
      <c r="R12" s="12"/>
      <c r="S12" s="13"/>
      <c r="T12" s="1"/>
    </row>
    <row r="13" spans="1:20" ht="22.2" x14ac:dyDescent="0.45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16"/>
      <c r="L13" s="15"/>
      <c r="M13" s="16"/>
      <c r="N13" s="9"/>
      <c r="O13" s="12"/>
      <c r="P13" s="12"/>
      <c r="Q13" s="12"/>
      <c r="R13" s="12"/>
      <c r="S13" s="13"/>
      <c r="T13" s="1"/>
    </row>
    <row r="14" spans="1:20" ht="22.2" x14ac:dyDescent="0.45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/>
      <c r="M14" s="16"/>
      <c r="N14" s="9"/>
      <c r="O14" s="12"/>
      <c r="P14" s="12"/>
      <c r="Q14" s="12"/>
      <c r="R14" s="12"/>
      <c r="S14" s="13"/>
      <c r="T14" s="1"/>
    </row>
    <row r="15" spans="1:20" ht="22.2" x14ac:dyDescent="0.45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/>
      <c r="M15" s="16"/>
      <c r="N15" s="9"/>
      <c r="O15" s="12"/>
      <c r="P15" s="12"/>
      <c r="Q15" s="12"/>
      <c r="R15" s="12"/>
      <c r="S15" s="13"/>
      <c r="T15" s="1"/>
    </row>
    <row r="16" spans="1:20" ht="22.2" x14ac:dyDescent="0.45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2"/>
      <c r="M16" s="12"/>
      <c r="N16" s="9"/>
      <c r="O16" s="12"/>
      <c r="P16" s="12"/>
      <c r="Q16" s="12"/>
      <c r="R16" s="12"/>
      <c r="S16" s="13"/>
      <c r="T16" s="1"/>
    </row>
    <row r="17" spans="1:20" ht="22.2" x14ac:dyDescent="0.45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2"/>
      <c r="M17" s="12"/>
      <c r="N17" s="9"/>
      <c r="O17" s="12"/>
      <c r="P17" s="12"/>
      <c r="Q17" s="12"/>
      <c r="R17" s="12"/>
      <c r="S17" s="13"/>
      <c r="T17" s="1"/>
    </row>
    <row r="18" spans="1:20" ht="22.2" x14ac:dyDescent="0.45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2"/>
      <c r="M18" s="12"/>
      <c r="N18" s="9"/>
      <c r="O18" s="12"/>
      <c r="P18" s="12"/>
      <c r="Q18" s="12"/>
      <c r="R18" s="12"/>
      <c r="S18" s="13"/>
      <c r="T18" s="1"/>
    </row>
    <row r="19" spans="1:20" ht="22.2" x14ac:dyDescent="0.45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2"/>
      <c r="M19" s="12"/>
      <c r="N19" s="9"/>
      <c r="O19" s="12"/>
      <c r="P19" s="12"/>
      <c r="Q19" s="12"/>
      <c r="R19" s="12"/>
      <c r="S19" s="13"/>
      <c r="T19" s="1"/>
    </row>
    <row r="20" spans="1:20" ht="22.2" x14ac:dyDescent="0.45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2"/>
      <c r="M20" s="12"/>
      <c r="N20" s="9"/>
      <c r="O20" s="12"/>
      <c r="P20" s="12"/>
      <c r="Q20" s="12"/>
      <c r="R20" s="12"/>
      <c r="S20" s="13"/>
      <c r="T20" s="1"/>
    </row>
    <row r="21" spans="1:20" ht="22.2" x14ac:dyDescent="0.45">
      <c r="A21" s="1"/>
      <c r="B21" s="14"/>
      <c r="C21" s="12"/>
      <c r="D21" s="12"/>
      <c r="E21" s="12"/>
      <c r="F21" s="12"/>
      <c r="G21" s="12"/>
      <c r="H21" s="12"/>
      <c r="I21" s="12"/>
      <c r="J21" s="15"/>
      <c r="K21" s="16"/>
      <c r="L21" s="12"/>
      <c r="M21" s="12"/>
      <c r="N21" s="9"/>
      <c r="O21" s="12"/>
      <c r="P21" s="12"/>
      <c r="Q21" s="12"/>
      <c r="R21" s="12"/>
      <c r="S21" s="13"/>
      <c r="T21" s="1"/>
    </row>
    <row r="22" spans="1:20" ht="22.2" x14ac:dyDescent="0.45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20" ht="22.2" x14ac:dyDescent="0.45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20" ht="22.2" x14ac:dyDescent="0.45">
      <c r="A24" s="1"/>
      <c r="B24" s="1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9"/>
      <c r="O24" s="12"/>
      <c r="P24" s="12"/>
      <c r="Q24" s="12"/>
      <c r="R24" s="12"/>
      <c r="S24" s="13"/>
      <c r="T24" s="1"/>
    </row>
    <row r="25" spans="1:20" ht="15" thickBot="1" x14ac:dyDescent="0.35">
      <c r="A25" s="1"/>
      <c r="B25" s="18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20"/>
      <c r="T25" s="1"/>
    </row>
    <row r="26" spans="1:20" ht="15" thickTop="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2294-B99C-42A3-B847-BE8651F7C5B3}">
  <sheetPr>
    <tabColor rgb="FF0000FF"/>
  </sheetPr>
  <dimension ref="A1:I29"/>
  <sheetViews>
    <sheetView topLeftCell="A14" zoomScale="92" zoomScaleNormal="92" workbookViewId="0">
      <selection activeCell="F24" sqref="F24"/>
    </sheetView>
  </sheetViews>
  <sheetFormatPr defaultRowHeight="14.4" x14ac:dyDescent="0.3"/>
  <cols>
    <col min="1" max="1" width="15.109375" customWidth="1"/>
    <col min="2" max="3" width="17.109375" customWidth="1"/>
    <col min="4" max="4" width="12.5546875" customWidth="1"/>
    <col min="5" max="5" width="4.6640625" customWidth="1"/>
    <col min="6" max="6" width="10.88671875" customWidth="1"/>
    <col min="7" max="7" width="15" customWidth="1"/>
  </cols>
  <sheetData>
    <row r="1" spans="1:9" ht="21" x14ac:dyDescent="0.4">
      <c r="A1" s="43" t="s">
        <v>21</v>
      </c>
    </row>
    <row r="2" spans="1:9" x14ac:dyDescent="0.3">
      <c r="A2" t="s">
        <v>22</v>
      </c>
    </row>
    <row r="3" spans="1:9" x14ac:dyDescent="0.3">
      <c r="A3" s="44" t="s">
        <v>27</v>
      </c>
    </row>
    <row r="4" spans="1:9" x14ac:dyDescent="0.3">
      <c r="A4" s="44" t="s">
        <v>23</v>
      </c>
    </row>
    <row r="5" spans="1:9" x14ac:dyDescent="0.3">
      <c r="A5" s="44" t="s">
        <v>24</v>
      </c>
    </row>
    <row r="6" spans="1:9" x14ac:dyDescent="0.3">
      <c r="A6" s="44" t="s">
        <v>25</v>
      </c>
    </row>
    <row r="7" spans="1:9" x14ac:dyDescent="0.3">
      <c r="A7" t="s">
        <v>26</v>
      </c>
    </row>
    <row r="8" spans="1:9" x14ac:dyDescent="0.3">
      <c r="A8" s="44" t="s">
        <v>30</v>
      </c>
    </row>
    <row r="9" spans="1:9" x14ac:dyDescent="0.3">
      <c r="A9" s="45" t="s">
        <v>29</v>
      </c>
    </row>
    <row r="10" spans="1:9" x14ac:dyDescent="0.3">
      <c r="A10" s="44" t="s">
        <v>28</v>
      </c>
    </row>
    <row r="13" spans="1:9" x14ac:dyDescent="0.3">
      <c r="A13" s="21" t="s">
        <v>20</v>
      </c>
    </row>
    <row r="15" spans="1:9" x14ac:dyDescent="0.3">
      <c r="A15" s="26" t="s">
        <v>2</v>
      </c>
      <c r="B15" s="26" t="s">
        <v>9</v>
      </c>
      <c r="C15" s="26" t="s">
        <v>18</v>
      </c>
      <c r="D15" s="26" t="s">
        <v>19</v>
      </c>
      <c r="F15" s="26" t="s">
        <v>2</v>
      </c>
      <c r="G15" s="26" t="s">
        <v>19</v>
      </c>
    </row>
    <row r="16" spans="1:9" x14ac:dyDescent="0.3">
      <c r="A16" s="27" t="s">
        <v>10</v>
      </c>
      <c r="B16" s="27" t="s">
        <v>11</v>
      </c>
      <c r="C16" s="32">
        <v>12.37</v>
      </c>
      <c r="D16" s="33">
        <v>19.95</v>
      </c>
      <c r="F16" s="22" t="s">
        <v>6</v>
      </c>
      <c r="G16" s="29">
        <f>VLOOKUP(F16,A16:D20,4,0)</f>
        <v>26.95</v>
      </c>
      <c r="I16" t="s">
        <v>15</v>
      </c>
    </row>
    <row r="17" spans="1:9" x14ac:dyDescent="0.3">
      <c r="A17" s="27" t="s">
        <v>13</v>
      </c>
      <c r="B17" s="27" t="s">
        <v>14</v>
      </c>
      <c r="C17" s="32">
        <v>12.89</v>
      </c>
      <c r="D17" s="33">
        <v>18.95</v>
      </c>
      <c r="F17" s="28"/>
      <c r="G17" s="28"/>
    </row>
    <row r="18" spans="1:9" x14ac:dyDescent="0.3">
      <c r="A18" s="27" t="s">
        <v>7</v>
      </c>
      <c r="B18" s="27" t="s">
        <v>12</v>
      </c>
      <c r="C18" s="32">
        <v>21.54</v>
      </c>
      <c r="D18" s="33">
        <v>43.95</v>
      </c>
      <c r="F18" s="28"/>
    </row>
    <row r="19" spans="1:9" x14ac:dyDescent="0.3">
      <c r="A19" s="27" t="s">
        <v>6</v>
      </c>
      <c r="B19" s="27" t="s">
        <v>12</v>
      </c>
      <c r="C19" s="32">
        <v>11.59</v>
      </c>
      <c r="D19" s="33">
        <v>26.95</v>
      </c>
      <c r="F19" s="28"/>
      <c r="G19" s="28"/>
    </row>
    <row r="20" spans="1:9" x14ac:dyDescent="0.3">
      <c r="A20" s="27" t="s">
        <v>4</v>
      </c>
      <c r="B20" s="27" t="s">
        <v>12</v>
      </c>
      <c r="C20" s="32">
        <v>17.329999999999998</v>
      </c>
      <c r="D20" s="33">
        <v>27.95</v>
      </c>
      <c r="F20" s="28"/>
      <c r="G20" s="28"/>
    </row>
    <row r="21" spans="1:9" x14ac:dyDescent="0.3">
      <c r="A21" s="47" t="s">
        <v>3</v>
      </c>
      <c r="B21" s="47" t="s">
        <v>14</v>
      </c>
      <c r="C21" s="48">
        <v>11</v>
      </c>
      <c r="D21" s="49">
        <v>22.95</v>
      </c>
    </row>
    <row r="23" spans="1:9" x14ac:dyDescent="0.3">
      <c r="A23" s="36" t="s">
        <v>2</v>
      </c>
      <c r="B23" s="37" t="s">
        <v>9</v>
      </c>
      <c r="C23" s="37" t="s">
        <v>18</v>
      </c>
      <c r="D23" s="38" t="s">
        <v>19</v>
      </c>
      <c r="F23" s="26" t="s">
        <v>2</v>
      </c>
      <c r="G23" s="26" t="s">
        <v>19</v>
      </c>
    </row>
    <row r="24" spans="1:9" x14ac:dyDescent="0.3">
      <c r="A24" s="34" t="s">
        <v>10</v>
      </c>
      <c r="B24" s="27" t="s">
        <v>11</v>
      </c>
      <c r="C24" s="32">
        <v>12.37</v>
      </c>
      <c r="D24" s="35">
        <v>19.95</v>
      </c>
      <c r="F24" s="22" t="s">
        <v>3</v>
      </c>
      <c r="G24" s="29">
        <f>VLOOKUP(F24,PriceLookup[],4,0)</f>
        <v>22.95</v>
      </c>
      <c r="I24" t="s">
        <v>15</v>
      </c>
    </row>
    <row r="25" spans="1:9" x14ac:dyDescent="0.3">
      <c r="A25" s="34" t="s">
        <v>13</v>
      </c>
      <c r="B25" s="27" t="s">
        <v>14</v>
      </c>
      <c r="C25" s="32" t="s">
        <v>110</v>
      </c>
      <c r="D25" s="35">
        <v>18.95</v>
      </c>
      <c r="F25" s="28"/>
      <c r="G25" s="28"/>
    </row>
    <row r="26" spans="1:9" x14ac:dyDescent="0.3">
      <c r="A26" s="34" t="s">
        <v>7</v>
      </c>
      <c r="B26" s="27" t="s">
        <v>12</v>
      </c>
      <c r="C26" s="32">
        <v>21.54</v>
      </c>
      <c r="D26" s="35">
        <v>43.95</v>
      </c>
      <c r="F26" s="28"/>
    </row>
    <row r="27" spans="1:9" x14ac:dyDescent="0.3">
      <c r="A27" s="34" t="s">
        <v>6</v>
      </c>
      <c r="B27" s="27" t="s">
        <v>12</v>
      </c>
      <c r="C27" s="32">
        <v>11.59</v>
      </c>
      <c r="D27" s="35">
        <v>26.95</v>
      </c>
      <c r="F27" s="28"/>
      <c r="G27" s="28"/>
    </row>
    <row r="28" spans="1:9" x14ac:dyDescent="0.3">
      <c r="A28" s="39" t="s">
        <v>4</v>
      </c>
      <c r="B28" s="40" t="s">
        <v>12</v>
      </c>
      <c r="C28" s="41">
        <v>17.329999999999998</v>
      </c>
      <c r="D28" s="42">
        <v>27.95</v>
      </c>
      <c r="F28" s="28"/>
      <c r="G28" s="28"/>
    </row>
    <row r="29" spans="1:9" x14ac:dyDescent="0.3">
      <c r="A29" s="50" t="s">
        <v>3</v>
      </c>
      <c r="B29" s="51" t="s">
        <v>14</v>
      </c>
      <c r="C29" s="52">
        <v>11</v>
      </c>
      <c r="D29" s="53">
        <v>22.95</v>
      </c>
    </row>
  </sheetData>
  <dataValidations count="2">
    <dataValidation type="list" allowBlank="1" showInputMessage="1" showErrorMessage="1" sqref="F16" xr:uid="{14A64CC6-8F02-4116-9279-FB277C8877F7}">
      <formula1>$A$16:$A$20</formula1>
    </dataValidation>
    <dataValidation type="list" allowBlank="1" showInputMessage="1" showErrorMessage="1" sqref="F24" xr:uid="{523A6862-07EF-48D0-8C2D-D1C22B461735}">
      <formula1>$A$24:$A$29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CAEFE-79AF-474A-B09A-A16E9A81014A}">
  <sheetPr>
    <tabColor rgb="FFFF0000"/>
  </sheetPr>
  <dimension ref="A1:I29"/>
  <sheetViews>
    <sheetView topLeftCell="A13" zoomScale="115" zoomScaleNormal="115" workbookViewId="0">
      <selection activeCell="F24" sqref="F24"/>
    </sheetView>
  </sheetViews>
  <sheetFormatPr defaultRowHeight="14.4" x14ac:dyDescent="0.3"/>
  <cols>
    <col min="1" max="1" width="15.109375" customWidth="1"/>
    <col min="2" max="3" width="17.109375" customWidth="1"/>
    <col min="4" max="4" width="12.5546875" customWidth="1"/>
    <col min="5" max="5" width="4.6640625" customWidth="1"/>
    <col min="6" max="6" width="10.88671875" customWidth="1"/>
    <col min="7" max="7" width="15" customWidth="1"/>
  </cols>
  <sheetData>
    <row r="1" spans="1:9" ht="21" x14ac:dyDescent="0.4">
      <c r="A1" s="43" t="s">
        <v>21</v>
      </c>
    </row>
    <row r="2" spans="1:9" x14ac:dyDescent="0.3">
      <c r="A2" t="s">
        <v>22</v>
      </c>
    </row>
    <row r="3" spans="1:9" x14ac:dyDescent="0.3">
      <c r="A3" s="44" t="s">
        <v>27</v>
      </c>
    </row>
    <row r="4" spans="1:9" x14ac:dyDescent="0.3">
      <c r="A4" s="44" t="s">
        <v>23</v>
      </c>
    </row>
    <row r="5" spans="1:9" x14ac:dyDescent="0.3">
      <c r="A5" s="44" t="s">
        <v>24</v>
      </c>
    </row>
    <row r="6" spans="1:9" x14ac:dyDescent="0.3">
      <c r="A6" s="44" t="s">
        <v>25</v>
      </c>
    </row>
    <row r="7" spans="1:9" x14ac:dyDescent="0.3">
      <c r="A7" t="s">
        <v>26</v>
      </c>
    </row>
    <row r="8" spans="1:9" x14ac:dyDescent="0.3">
      <c r="A8" s="44" t="s">
        <v>30</v>
      </c>
    </row>
    <row r="9" spans="1:9" x14ac:dyDescent="0.3">
      <c r="A9" s="45" t="s">
        <v>29</v>
      </c>
    </row>
    <row r="10" spans="1:9" x14ac:dyDescent="0.3">
      <c r="A10" s="44" t="s">
        <v>28</v>
      </c>
    </row>
    <row r="13" spans="1:9" x14ac:dyDescent="0.3">
      <c r="A13" s="21" t="s">
        <v>20</v>
      </c>
    </row>
    <row r="15" spans="1:9" x14ac:dyDescent="0.3">
      <c r="A15" s="26" t="s">
        <v>2</v>
      </c>
      <c r="B15" s="26" t="s">
        <v>9</v>
      </c>
      <c r="C15" s="26" t="s">
        <v>18</v>
      </c>
      <c r="D15" s="26" t="s">
        <v>19</v>
      </c>
      <c r="F15" s="26" t="s">
        <v>2</v>
      </c>
      <c r="G15" s="26" t="s">
        <v>19</v>
      </c>
    </row>
    <row r="16" spans="1:9" x14ac:dyDescent="0.3">
      <c r="A16" s="27" t="s">
        <v>10</v>
      </c>
      <c r="B16" s="27" t="s">
        <v>11</v>
      </c>
      <c r="C16" s="32">
        <v>12.37</v>
      </c>
      <c r="D16" s="33">
        <v>19.95</v>
      </c>
      <c r="F16" s="22" t="s">
        <v>6</v>
      </c>
      <c r="G16" s="29">
        <f>VLOOKUP(F16,A16:D20,4,0)</f>
        <v>26.95</v>
      </c>
      <c r="I16" t="s">
        <v>15</v>
      </c>
    </row>
    <row r="17" spans="1:9" x14ac:dyDescent="0.3">
      <c r="A17" s="27" t="s">
        <v>13</v>
      </c>
      <c r="B17" s="27" t="s">
        <v>14</v>
      </c>
      <c r="C17" s="32">
        <v>12.89</v>
      </c>
      <c r="D17" s="33">
        <v>18.95</v>
      </c>
      <c r="F17" s="28"/>
      <c r="G17" s="28"/>
    </row>
    <row r="18" spans="1:9" x14ac:dyDescent="0.3">
      <c r="A18" s="27" t="s">
        <v>7</v>
      </c>
      <c r="B18" s="27" t="s">
        <v>12</v>
      </c>
      <c r="C18" s="32">
        <v>21.54</v>
      </c>
      <c r="D18" s="33">
        <v>43.95</v>
      </c>
      <c r="F18" s="28"/>
    </row>
    <row r="19" spans="1:9" x14ac:dyDescent="0.3">
      <c r="A19" s="27" t="s">
        <v>6</v>
      </c>
      <c r="B19" s="27" t="s">
        <v>12</v>
      </c>
      <c r="C19" s="32">
        <v>11.59</v>
      </c>
      <c r="D19" s="33">
        <v>26.95</v>
      </c>
      <c r="F19" s="28"/>
      <c r="G19" s="28"/>
    </row>
    <row r="20" spans="1:9" x14ac:dyDescent="0.3">
      <c r="A20" s="27" t="s">
        <v>4</v>
      </c>
      <c r="B20" s="27" t="s">
        <v>12</v>
      </c>
      <c r="C20" s="32">
        <v>17.329999999999998</v>
      </c>
      <c r="D20" s="33">
        <v>27.95</v>
      </c>
      <c r="F20" s="28"/>
      <c r="G20" s="28"/>
    </row>
    <row r="21" spans="1:9" x14ac:dyDescent="0.3">
      <c r="A21" s="47" t="s">
        <v>3</v>
      </c>
      <c r="B21" s="47" t="s">
        <v>14</v>
      </c>
      <c r="C21" s="48">
        <v>11</v>
      </c>
      <c r="D21" s="49">
        <v>22.95</v>
      </c>
    </row>
    <row r="23" spans="1:9" x14ac:dyDescent="0.3">
      <c r="A23" s="36" t="s">
        <v>2</v>
      </c>
      <c r="B23" s="37" t="s">
        <v>9</v>
      </c>
      <c r="C23" s="37" t="s">
        <v>18</v>
      </c>
      <c r="D23" s="38" t="s">
        <v>19</v>
      </c>
      <c r="F23" s="26" t="s">
        <v>2</v>
      </c>
      <c r="G23" s="26" t="s">
        <v>19</v>
      </c>
    </row>
    <row r="24" spans="1:9" x14ac:dyDescent="0.3">
      <c r="A24" s="34" t="s">
        <v>10</v>
      </c>
      <c r="B24" s="27" t="s">
        <v>11</v>
      </c>
      <c r="C24" s="32">
        <v>12.37</v>
      </c>
      <c r="D24" s="35">
        <v>19.95</v>
      </c>
      <c r="F24" s="22" t="s">
        <v>3</v>
      </c>
      <c r="G24" s="29">
        <f>VLOOKUP(F24,PriceLookupAnswer[],4,0)</f>
        <v>22.95</v>
      </c>
      <c r="I24" t="s">
        <v>15</v>
      </c>
    </row>
    <row r="25" spans="1:9" x14ac:dyDescent="0.3">
      <c r="A25" s="34" t="s">
        <v>13</v>
      </c>
      <c r="B25" s="27" t="s">
        <v>14</v>
      </c>
      <c r="C25" s="32">
        <v>12.89</v>
      </c>
      <c r="D25" s="35">
        <v>18.95</v>
      </c>
      <c r="F25" s="28"/>
      <c r="G25" s="28"/>
    </row>
    <row r="26" spans="1:9" x14ac:dyDescent="0.3">
      <c r="A26" s="34" t="s">
        <v>7</v>
      </c>
      <c r="B26" s="27" t="s">
        <v>12</v>
      </c>
      <c r="C26" s="32">
        <v>21.54</v>
      </c>
      <c r="D26" s="35">
        <v>43.95</v>
      </c>
      <c r="F26" s="28"/>
    </row>
    <row r="27" spans="1:9" x14ac:dyDescent="0.3">
      <c r="A27" s="34" t="s">
        <v>6</v>
      </c>
      <c r="B27" s="27" t="s">
        <v>12</v>
      </c>
      <c r="C27" s="32">
        <v>11.59</v>
      </c>
      <c r="D27" s="35">
        <v>26.95</v>
      </c>
      <c r="F27" s="28"/>
      <c r="G27" s="28"/>
    </row>
    <row r="28" spans="1:9" x14ac:dyDescent="0.3">
      <c r="A28" s="39" t="s">
        <v>4</v>
      </c>
      <c r="B28" s="40" t="s">
        <v>12</v>
      </c>
      <c r="C28" s="41">
        <v>17.329999999999998</v>
      </c>
      <c r="D28" s="42">
        <v>27.95</v>
      </c>
      <c r="F28" s="28"/>
      <c r="G28" s="28"/>
    </row>
    <row r="29" spans="1:9" x14ac:dyDescent="0.3">
      <c r="A29" s="50" t="s">
        <v>3</v>
      </c>
      <c r="B29" s="51" t="s">
        <v>14</v>
      </c>
      <c r="C29" s="52">
        <v>11</v>
      </c>
      <c r="D29" s="53">
        <v>22.95</v>
      </c>
    </row>
  </sheetData>
  <dataValidations count="2">
    <dataValidation type="list" allowBlank="1" showInputMessage="1" showErrorMessage="1" sqref="F24" xr:uid="{124EF5D7-AF1D-46E7-8328-8DCFE5BDCD31}">
      <formula1>$A$24:$A$29</formula1>
    </dataValidation>
    <dataValidation type="list" allowBlank="1" showInputMessage="1" showErrorMessage="1" sqref="F16" xr:uid="{AFC88207-06CA-4FE8-9960-54CB68C51F61}">
      <formula1>$A$16:$A$20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0EF7B-C829-4540-8CFF-94F8A20E4F6D}">
  <sheetPr>
    <tabColor rgb="FF0000FF"/>
  </sheetPr>
  <dimension ref="A1:B8"/>
  <sheetViews>
    <sheetView zoomScaleNormal="100" workbookViewId="0">
      <selection activeCell="B8" sqref="B8"/>
    </sheetView>
  </sheetViews>
  <sheetFormatPr defaultRowHeight="14.4" x14ac:dyDescent="0.3"/>
  <cols>
    <col min="1" max="1" width="15.109375" customWidth="1"/>
    <col min="2" max="2" width="23" customWidth="1"/>
    <col min="3" max="3" width="17.109375" customWidth="1"/>
    <col min="4" max="4" width="12.5546875" customWidth="1"/>
    <col min="5" max="5" width="4.6640625" customWidth="1"/>
    <col min="6" max="6" width="10.88671875" customWidth="1"/>
    <col min="7" max="7" width="15" customWidth="1"/>
  </cols>
  <sheetData>
    <row r="1" spans="1:2" x14ac:dyDescent="0.3">
      <c r="A1" s="21" t="s">
        <v>40</v>
      </c>
    </row>
    <row r="4" spans="1:2" x14ac:dyDescent="0.3">
      <c r="A4" s="21" t="s">
        <v>1</v>
      </c>
      <c r="B4" s="21" t="s">
        <v>31</v>
      </c>
    </row>
    <row r="5" spans="1:2" x14ac:dyDescent="0.3">
      <c r="A5" s="46">
        <v>43045</v>
      </c>
      <c r="B5" s="104">
        <v>5789.24</v>
      </c>
    </row>
    <row r="6" spans="1:2" x14ac:dyDescent="0.3">
      <c r="A6" s="46">
        <v>43046</v>
      </c>
      <c r="B6" s="104">
        <v>6125.75</v>
      </c>
    </row>
    <row r="7" spans="1:2" x14ac:dyDescent="0.3">
      <c r="A7" s="46">
        <v>43047</v>
      </c>
      <c r="B7" s="104">
        <v>4215.1400000000003</v>
      </c>
    </row>
    <row r="8" spans="1:2" x14ac:dyDescent="0.3">
      <c r="A8" s="101">
        <v>42989</v>
      </c>
      <c r="B8">
        <v>9125.65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1D029-9DCC-470B-A1F8-58D88A9EFEA3}">
  <sheetPr>
    <tabColor rgb="FFFF0000"/>
  </sheetPr>
  <dimension ref="A1:B8"/>
  <sheetViews>
    <sheetView zoomScale="88" zoomScaleNormal="145" workbookViewId="0">
      <selection activeCell="B4" sqref="B4"/>
    </sheetView>
  </sheetViews>
  <sheetFormatPr defaultRowHeight="14.4" x14ac:dyDescent="0.3"/>
  <cols>
    <col min="1" max="1" width="15.109375" customWidth="1"/>
    <col min="2" max="2" width="23" customWidth="1"/>
    <col min="3" max="3" width="17.109375" customWidth="1"/>
    <col min="4" max="4" width="12.5546875" customWidth="1"/>
    <col min="5" max="5" width="4.6640625" customWidth="1"/>
    <col min="6" max="6" width="10.88671875" customWidth="1"/>
    <col min="7" max="7" width="15" customWidth="1"/>
  </cols>
  <sheetData>
    <row r="1" spans="1:2" x14ac:dyDescent="0.3">
      <c r="A1" s="21" t="s">
        <v>40</v>
      </c>
    </row>
    <row r="4" spans="1:2" x14ac:dyDescent="0.3">
      <c r="A4" s="21" t="s">
        <v>1</v>
      </c>
      <c r="B4" s="21" t="s">
        <v>31</v>
      </c>
    </row>
    <row r="5" spans="1:2" x14ac:dyDescent="0.3">
      <c r="A5" s="46">
        <v>43045</v>
      </c>
      <c r="B5" s="25">
        <v>5789.24</v>
      </c>
    </row>
    <row r="6" spans="1:2" x14ac:dyDescent="0.3">
      <c r="A6" s="46">
        <v>43046</v>
      </c>
      <c r="B6" s="25">
        <v>6125.75</v>
      </c>
    </row>
    <row r="7" spans="1:2" x14ac:dyDescent="0.3">
      <c r="A7" s="46">
        <v>43047</v>
      </c>
      <c r="B7" s="25">
        <v>4215.1400000000003</v>
      </c>
    </row>
    <row r="8" spans="1:2" x14ac:dyDescent="0.3">
      <c r="A8" s="46">
        <v>43048</v>
      </c>
      <c r="B8" s="25">
        <v>9125.65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492AA-2751-4487-873F-6E30D244F881}">
  <sheetPr>
    <tabColor rgb="FF0000FF"/>
  </sheetPr>
  <dimension ref="A1:AW29"/>
  <sheetViews>
    <sheetView topLeftCell="A10" zoomScale="130" zoomScaleNormal="130" workbookViewId="0">
      <selection activeCell="A22" sqref="A22:C29"/>
    </sheetView>
  </sheetViews>
  <sheetFormatPr defaultRowHeight="14.4" x14ac:dyDescent="0.3"/>
  <cols>
    <col min="1" max="1" width="15.109375" customWidth="1"/>
    <col min="2" max="3" width="17.109375" customWidth="1"/>
    <col min="4" max="7" width="12.5546875" customWidth="1"/>
    <col min="8" max="8" width="10.88671875" bestFit="1" customWidth="1"/>
    <col min="9" max="9" width="16" bestFit="1" customWidth="1"/>
    <col min="10" max="12" width="12" customWidth="1"/>
    <col min="13" max="13" width="13.33203125" bestFit="1" customWidth="1"/>
    <col min="14" max="14" width="7" bestFit="1" customWidth="1"/>
    <col min="15" max="15" width="4.109375" bestFit="1" customWidth="1"/>
    <col min="16" max="19" width="4.6640625" customWidth="1"/>
    <col min="20" max="20" width="10.88671875" customWidth="1"/>
    <col min="21" max="21" width="15" customWidth="1"/>
    <col min="45" max="45" width="10.109375" bestFit="1" customWidth="1"/>
  </cols>
  <sheetData>
    <row r="1" spans="1:49" x14ac:dyDescent="0.3">
      <c r="A1" s="21" t="s">
        <v>39</v>
      </c>
      <c r="M1" s="21" t="s">
        <v>33</v>
      </c>
    </row>
    <row r="3" spans="1:49" x14ac:dyDescent="0.3">
      <c r="A3" s="21" t="s">
        <v>1</v>
      </c>
      <c r="B3" s="21" t="s">
        <v>2</v>
      </c>
      <c r="C3" s="21" t="s">
        <v>32</v>
      </c>
      <c r="M3" s="46">
        <v>43047</v>
      </c>
      <c r="N3" t="s">
        <v>13</v>
      </c>
      <c r="O3">
        <v>88</v>
      </c>
      <c r="AS3" s="21" t="s">
        <v>1</v>
      </c>
      <c r="AT3" s="21" t="s">
        <v>2</v>
      </c>
      <c r="AU3" s="21" t="s">
        <v>32</v>
      </c>
      <c r="AW3" s="21" t="s">
        <v>2</v>
      </c>
    </row>
    <row r="4" spans="1:49" x14ac:dyDescent="0.3">
      <c r="A4" s="46">
        <v>43041</v>
      </c>
      <c r="B4" t="s">
        <v>7</v>
      </c>
      <c r="C4">
        <v>181</v>
      </c>
      <c r="M4" s="46">
        <v>43042</v>
      </c>
      <c r="N4" t="s">
        <v>7</v>
      </c>
      <c r="O4">
        <v>152</v>
      </c>
      <c r="AS4" s="46">
        <f ca="1">RANDBETWEEN("11/1/2017",TODAY())</f>
        <v>43506</v>
      </c>
      <c r="AT4" t="str">
        <f ca="1">INDEX($AW$4:$AW$7,RANDBETWEEN(1,ROWS($AW$4:$AW$7)))</f>
        <v>V Rang</v>
      </c>
      <c r="AU4">
        <f ca="1">RANDBETWEEN(1,191)</f>
        <v>3</v>
      </c>
      <c r="AW4" t="s">
        <v>7</v>
      </c>
    </row>
    <row r="5" spans="1:49" x14ac:dyDescent="0.3">
      <c r="A5" s="46">
        <v>43043</v>
      </c>
      <c r="B5" t="s">
        <v>8</v>
      </c>
      <c r="C5">
        <v>155</v>
      </c>
      <c r="M5" s="46">
        <v>43046</v>
      </c>
      <c r="N5" t="s">
        <v>7</v>
      </c>
      <c r="O5">
        <v>90</v>
      </c>
      <c r="AS5" s="46">
        <f t="shared" ref="AS5:AS11" ca="1" si="0">RANDBETWEEN("11/1/2017",TODAY())</f>
        <v>43320</v>
      </c>
      <c r="AT5" t="str">
        <f t="shared" ref="AT5:AT11" ca="1" si="1">INDEX($AW$4:$AW$7,RANDBETWEEN(1,ROWS($AW$4:$AW$7)))</f>
        <v>Quad</v>
      </c>
      <c r="AU5">
        <f t="shared" ref="AU5:AU11" ca="1" si="2">RANDBETWEEN(1,191)</f>
        <v>24</v>
      </c>
      <c r="AW5" t="s">
        <v>5</v>
      </c>
    </row>
    <row r="6" spans="1:49" x14ac:dyDescent="0.3">
      <c r="A6" s="46">
        <v>43044</v>
      </c>
      <c r="B6" t="s">
        <v>8</v>
      </c>
      <c r="C6">
        <v>56</v>
      </c>
      <c r="M6" s="46">
        <v>43042</v>
      </c>
      <c r="N6" t="s">
        <v>5</v>
      </c>
      <c r="O6">
        <v>112</v>
      </c>
      <c r="AS6" s="46">
        <f t="shared" ca="1" si="0"/>
        <v>44675</v>
      </c>
      <c r="AT6" t="str">
        <f t="shared" ca="1" si="1"/>
        <v>Quad</v>
      </c>
      <c r="AU6">
        <f t="shared" ca="1" si="2"/>
        <v>91</v>
      </c>
      <c r="AW6" t="s">
        <v>8</v>
      </c>
    </row>
    <row r="7" spans="1:49" x14ac:dyDescent="0.3">
      <c r="A7" s="46">
        <v>43044</v>
      </c>
      <c r="B7" t="s">
        <v>8</v>
      </c>
      <c r="C7">
        <v>127</v>
      </c>
      <c r="M7" s="46">
        <v>43045</v>
      </c>
      <c r="N7" t="s">
        <v>5</v>
      </c>
      <c r="O7">
        <v>24</v>
      </c>
      <c r="AS7" s="46">
        <f t="shared" ca="1" si="0"/>
        <v>45038</v>
      </c>
      <c r="AT7" t="str">
        <f t="shared" ca="1" si="1"/>
        <v>V Rang</v>
      </c>
      <c r="AU7">
        <f t="shared" ca="1" si="2"/>
        <v>52</v>
      </c>
      <c r="AW7" t="s">
        <v>13</v>
      </c>
    </row>
    <row r="8" spans="1:49" x14ac:dyDescent="0.3">
      <c r="A8" s="46">
        <v>43046</v>
      </c>
      <c r="B8" t="s">
        <v>13</v>
      </c>
      <c r="C8">
        <v>159</v>
      </c>
      <c r="M8" s="46">
        <v>43045</v>
      </c>
      <c r="N8" t="s">
        <v>8</v>
      </c>
      <c r="O8">
        <v>44</v>
      </c>
      <c r="AS8" s="46">
        <f t="shared" ca="1" si="0"/>
        <v>45184</v>
      </c>
      <c r="AT8" t="str">
        <f t="shared" ca="1" si="1"/>
        <v>Yanaki</v>
      </c>
      <c r="AU8">
        <f t="shared" ca="1" si="2"/>
        <v>159</v>
      </c>
    </row>
    <row r="9" spans="1:49" x14ac:dyDescent="0.3">
      <c r="A9" s="46">
        <v>43046</v>
      </c>
      <c r="B9" t="s">
        <v>7</v>
      </c>
      <c r="C9">
        <v>100</v>
      </c>
      <c r="H9" s="81" t="s">
        <v>2</v>
      </c>
      <c r="I9" t="s">
        <v>37</v>
      </c>
      <c r="M9" s="46">
        <v>43046</v>
      </c>
      <c r="N9" t="s">
        <v>8</v>
      </c>
      <c r="O9">
        <v>154</v>
      </c>
      <c r="AS9" s="46">
        <f t="shared" ca="1" si="0"/>
        <v>44196</v>
      </c>
      <c r="AT9" t="str">
        <f t="shared" ca="1" si="1"/>
        <v>Yanaki</v>
      </c>
      <c r="AU9">
        <f t="shared" ca="1" si="2"/>
        <v>32</v>
      </c>
    </row>
    <row r="10" spans="1:49" x14ac:dyDescent="0.3">
      <c r="A10" s="46">
        <v>43042</v>
      </c>
      <c r="B10" t="s">
        <v>5</v>
      </c>
      <c r="C10">
        <v>151</v>
      </c>
      <c r="H10" s="96" t="s">
        <v>7</v>
      </c>
      <c r="I10" s="55">
        <v>499</v>
      </c>
      <c r="M10" s="46">
        <v>43044</v>
      </c>
      <c r="N10" t="s">
        <v>13</v>
      </c>
      <c r="O10">
        <v>96</v>
      </c>
      <c r="AS10" s="46">
        <f t="shared" ca="1" si="0"/>
        <v>43593</v>
      </c>
      <c r="AT10" t="str">
        <f t="shared" ca="1" si="1"/>
        <v>V Rang</v>
      </c>
      <c r="AU10">
        <f t="shared" ca="1" si="2"/>
        <v>109</v>
      </c>
    </row>
    <row r="11" spans="1:49" x14ac:dyDescent="0.3">
      <c r="A11" s="46">
        <v>43041</v>
      </c>
      <c r="B11" t="s">
        <v>8</v>
      </c>
      <c r="C11">
        <v>163</v>
      </c>
      <c r="H11" s="96" t="s">
        <v>5</v>
      </c>
      <c r="I11" s="55">
        <v>151</v>
      </c>
      <c r="AS11" s="46">
        <f t="shared" ca="1" si="0"/>
        <v>43716</v>
      </c>
      <c r="AT11" t="str">
        <f t="shared" ca="1" si="1"/>
        <v>Yanaki</v>
      </c>
      <c r="AU11">
        <f t="shared" ca="1" si="2"/>
        <v>24</v>
      </c>
    </row>
    <row r="12" spans="1:49" x14ac:dyDescent="0.3">
      <c r="A12" s="46">
        <v>43045</v>
      </c>
      <c r="B12" t="s">
        <v>8</v>
      </c>
      <c r="C12">
        <v>84</v>
      </c>
      <c r="H12" s="96" t="s">
        <v>13</v>
      </c>
      <c r="I12" s="55">
        <v>409</v>
      </c>
    </row>
    <row r="13" spans="1:49" x14ac:dyDescent="0.3">
      <c r="A13" s="46">
        <v>43045</v>
      </c>
      <c r="B13" t="s">
        <v>8</v>
      </c>
      <c r="C13">
        <v>191</v>
      </c>
      <c r="H13" s="96" t="s">
        <v>8</v>
      </c>
      <c r="I13" s="55">
        <v>885</v>
      </c>
    </row>
    <row r="14" spans="1:49" x14ac:dyDescent="0.3">
      <c r="A14" s="46">
        <v>43040</v>
      </c>
      <c r="B14" t="s">
        <v>13</v>
      </c>
      <c r="C14">
        <v>78</v>
      </c>
      <c r="H14" s="96" t="s">
        <v>36</v>
      </c>
      <c r="I14" s="55">
        <v>1944</v>
      </c>
    </row>
    <row r="15" spans="1:49" x14ac:dyDescent="0.3">
      <c r="A15" s="46">
        <v>43043</v>
      </c>
      <c r="B15" t="s">
        <v>7</v>
      </c>
      <c r="C15">
        <v>8</v>
      </c>
    </row>
    <row r="16" spans="1:49" x14ac:dyDescent="0.3">
      <c r="A16" s="46">
        <v>43046</v>
      </c>
      <c r="B16" t="s">
        <v>13</v>
      </c>
      <c r="C16">
        <v>15</v>
      </c>
    </row>
    <row r="17" spans="1:3" x14ac:dyDescent="0.3">
      <c r="A17" s="46">
        <v>43040</v>
      </c>
      <c r="B17" t="s">
        <v>13</v>
      </c>
      <c r="C17">
        <v>157</v>
      </c>
    </row>
    <row r="18" spans="1:3" x14ac:dyDescent="0.3">
      <c r="A18" s="46">
        <v>43041</v>
      </c>
      <c r="B18" t="s">
        <v>8</v>
      </c>
      <c r="C18">
        <v>100</v>
      </c>
    </row>
    <row r="19" spans="1:3" x14ac:dyDescent="0.3">
      <c r="A19" s="46">
        <v>43040</v>
      </c>
      <c r="B19" t="s">
        <v>8</v>
      </c>
      <c r="C19">
        <v>9</v>
      </c>
    </row>
    <row r="20" spans="1:3" x14ac:dyDescent="0.3">
      <c r="A20" s="46">
        <v>43043</v>
      </c>
      <c r="B20" t="s">
        <v>7</v>
      </c>
      <c r="C20">
        <v>180</v>
      </c>
    </row>
    <row r="21" spans="1:3" x14ac:dyDescent="0.3">
      <c r="A21" s="46">
        <v>43047</v>
      </c>
      <c r="B21" t="s">
        <v>7</v>
      </c>
      <c r="C21">
        <v>30</v>
      </c>
    </row>
    <row r="22" spans="1:3" x14ac:dyDescent="0.3">
      <c r="A22" s="101">
        <v>43047</v>
      </c>
      <c r="B22" s="96" t="s">
        <v>13</v>
      </c>
      <c r="C22" s="96">
        <v>88</v>
      </c>
    </row>
    <row r="23" spans="1:3" x14ac:dyDescent="0.3">
      <c r="A23" s="101">
        <v>43042</v>
      </c>
      <c r="B23" s="96" t="s">
        <v>7</v>
      </c>
      <c r="C23" s="96">
        <v>152</v>
      </c>
    </row>
    <row r="24" spans="1:3" x14ac:dyDescent="0.3">
      <c r="A24" s="101">
        <v>43046</v>
      </c>
      <c r="B24" s="96" t="s">
        <v>7</v>
      </c>
      <c r="C24" s="96">
        <v>90</v>
      </c>
    </row>
    <row r="25" spans="1:3" x14ac:dyDescent="0.3">
      <c r="A25" s="101">
        <v>43042</v>
      </c>
      <c r="B25" s="96" t="s">
        <v>5</v>
      </c>
      <c r="C25" s="96">
        <v>112</v>
      </c>
    </row>
    <row r="26" spans="1:3" x14ac:dyDescent="0.3">
      <c r="A26" s="101">
        <v>43045</v>
      </c>
      <c r="B26" s="96" t="s">
        <v>5</v>
      </c>
      <c r="C26" s="96">
        <v>24</v>
      </c>
    </row>
    <row r="27" spans="1:3" x14ac:dyDescent="0.3">
      <c r="A27" s="101">
        <v>43045</v>
      </c>
      <c r="B27" s="96" t="s">
        <v>8</v>
      </c>
      <c r="C27" s="96">
        <v>44</v>
      </c>
    </row>
    <row r="28" spans="1:3" x14ac:dyDescent="0.3">
      <c r="A28" s="101">
        <v>43046</v>
      </c>
      <c r="B28" s="96" t="s">
        <v>8</v>
      </c>
      <c r="C28" s="96">
        <v>154</v>
      </c>
    </row>
    <row r="29" spans="1:3" x14ac:dyDescent="0.3">
      <c r="A29" s="101">
        <v>43044</v>
      </c>
      <c r="B29" s="96" t="s">
        <v>13</v>
      </c>
      <c r="C29" s="96">
        <v>96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9101C-BE74-48F9-911B-7A3A310E8048}">
  <sheetPr>
    <tabColor rgb="FFFF0000"/>
  </sheetPr>
  <dimension ref="A1:O29"/>
  <sheetViews>
    <sheetView topLeftCell="A3" zoomScaleNormal="100" workbookViewId="0">
      <selection activeCell="E13" sqref="E13"/>
    </sheetView>
  </sheetViews>
  <sheetFormatPr defaultRowHeight="14.4" x14ac:dyDescent="0.3"/>
  <cols>
    <col min="1" max="1" width="15.109375" customWidth="1"/>
    <col min="2" max="3" width="17.109375" customWidth="1"/>
    <col min="4" max="4" width="12.5546875" customWidth="1"/>
    <col min="5" max="5" width="11.33203125" bestFit="1" customWidth="1"/>
    <col min="6" max="6" width="16.6640625" bestFit="1" customWidth="1"/>
    <col min="7" max="8" width="12.5546875" customWidth="1"/>
    <col min="9" max="12" width="12" customWidth="1"/>
    <col min="13" max="13" width="13.33203125" bestFit="1" customWidth="1"/>
    <col min="14" max="14" width="7" bestFit="1" customWidth="1"/>
    <col min="15" max="15" width="4.109375" bestFit="1" customWidth="1"/>
    <col min="16" max="19" width="4.6640625" customWidth="1"/>
    <col min="20" max="20" width="10.88671875" customWidth="1"/>
    <col min="21" max="21" width="15" customWidth="1"/>
    <col min="38" max="38" width="10.109375" bestFit="1" customWidth="1"/>
  </cols>
  <sheetData>
    <row r="1" spans="1:15" x14ac:dyDescent="0.3">
      <c r="A1" s="21" t="s">
        <v>39</v>
      </c>
      <c r="M1" s="21" t="s">
        <v>33</v>
      </c>
    </row>
    <row r="3" spans="1:15" x14ac:dyDescent="0.3">
      <c r="A3" s="21" t="s">
        <v>1</v>
      </c>
      <c r="B3" s="21" t="s">
        <v>2</v>
      </c>
      <c r="C3" s="21" t="s">
        <v>32</v>
      </c>
      <c r="E3" s="54" t="s">
        <v>2</v>
      </c>
      <c r="F3" t="s">
        <v>37</v>
      </c>
      <c r="M3" s="46">
        <v>43047</v>
      </c>
      <c r="N3" t="s">
        <v>13</v>
      </c>
      <c r="O3">
        <v>88</v>
      </c>
    </row>
    <row r="4" spans="1:15" x14ac:dyDescent="0.3">
      <c r="A4" s="46">
        <v>43041</v>
      </c>
      <c r="B4" t="s">
        <v>7</v>
      </c>
      <c r="C4">
        <v>181</v>
      </c>
      <c r="E4" t="s">
        <v>7</v>
      </c>
      <c r="F4" s="55">
        <v>741</v>
      </c>
      <c r="M4" s="46">
        <v>43042</v>
      </c>
      <c r="N4" t="s">
        <v>7</v>
      </c>
      <c r="O4">
        <v>152</v>
      </c>
    </row>
    <row r="5" spans="1:15" x14ac:dyDescent="0.3">
      <c r="A5" s="46">
        <v>43043</v>
      </c>
      <c r="B5" t="s">
        <v>8</v>
      </c>
      <c r="C5">
        <v>155</v>
      </c>
      <c r="E5" t="s">
        <v>5</v>
      </c>
      <c r="F5" s="55">
        <v>287</v>
      </c>
      <c r="M5" s="46">
        <v>43046</v>
      </c>
      <c r="N5" t="s">
        <v>7</v>
      </c>
      <c r="O5">
        <v>90</v>
      </c>
    </row>
    <row r="6" spans="1:15" x14ac:dyDescent="0.3">
      <c r="A6" s="46">
        <v>43044</v>
      </c>
      <c r="B6" t="s">
        <v>8</v>
      </c>
      <c r="C6">
        <v>56</v>
      </c>
      <c r="E6" t="s">
        <v>13</v>
      </c>
      <c r="F6" s="55">
        <v>593</v>
      </c>
      <c r="M6" s="46">
        <v>43042</v>
      </c>
      <c r="N6" t="s">
        <v>5</v>
      </c>
      <c r="O6">
        <v>112</v>
      </c>
    </row>
    <row r="7" spans="1:15" x14ac:dyDescent="0.3">
      <c r="A7" s="46">
        <v>43044</v>
      </c>
      <c r="B7" t="s">
        <v>8</v>
      </c>
      <c r="C7">
        <v>127</v>
      </c>
      <c r="E7" t="s">
        <v>8</v>
      </c>
      <c r="F7" s="55">
        <v>1083</v>
      </c>
      <c r="M7" s="46">
        <v>43045</v>
      </c>
      <c r="N7" t="s">
        <v>5</v>
      </c>
      <c r="O7">
        <v>24</v>
      </c>
    </row>
    <row r="8" spans="1:15" x14ac:dyDescent="0.3">
      <c r="A8" s="46">
        <v>43046</v>
      </c>
      <c r="B8" t="s">
        <v>13</v>
      </c>
      <c r="C8">
        <v>159</v>
      </c>
      <c r="E8" t="s">
        <v>36</v>
      </c>
      <c r="F8" s="55">
        <v>2704</v>
      </c>
      <c r="M8" s="46">
        <v>43045</v>
      </c>
      <c r="N8" t="s">
        <v>8</v>
      </c>
      <c r="O8">
        <v>44</v>
      </c>
    </row>
    <row r="9" spans="1:15" x14ac:dyDescent="0.3">
      <c r="A9" s="46">
        <v>43046</v>
      </c>
      <c r="B9" t="s">
        <v>7</v>
      </c>
      <c r="C9">
        <v>100</v>
      </c>
      <c r="M9" s="46">
        <v>43046</v>
      </c>
      <c r="N9" t="s">
        <v>8</v>
      </c>
      <c r="O9">
        <v>154</v>
      </c>
    </row>
    <row r="10" spans="1:15" x14ac:dyDescent="0.3">
      <c r="A10" s="46">
        <v>43042</v>
      </c>
      <c r="B10" t="s">
        <v>5</v>
      </c>
      <c r="C10">
        <v>151</v>
      </c>
      <c r="M10" s="46">
        <v>43044</v>
      </c>
      <c r="N10" t="s">
        <v>13</v>
      </c>
      <c r="O10">
        <v>96</v>
      </c>
    </row>
    <row r="11" spans="1:15" x14ac:dyDescent="0.3">
      <c r="A11" s="46">
        <v>43041</v>
      </c>
      <c r="B11" t="s">
        <v>8</v>
      </c>
      <c r="C11">
        <v>163</v>
      </c>
    </row>
    <row r="12" spans="1:15" x14ac:dyDescent="0.3">
      <c r="A12" s="46">
        <v>43045</v>
      </c>
      <c r="B12" t="s">
        <v>8</v>
      </c>
      <c r="C12">
        <v>84</v>
      </c>
    </row>
    <row r="13" spans="1:15" x14ac:dyDescent="0.3">
      <c r="A13" s="46">
        <v>43045</v>
      </c>
      <c r="B13" t="s">
        <v>8</v>
      </c>
      <c r="C13">
        <v>191</v>
      </c>
    </row>
    <row r="14" spans="1:15" x14ac:dyDescent="0.3">
      <c r="A14" s="46">
        <v>43040</v>
      </c>
      <c r="B14" t="s">
        <v>13</v>
      </c>
      <c r="C14">
        <v>78</v>
      </c>
    </row>
    <row r="15" spans="1:15" x14ac:dyDescent="0.3">
      <c r="A15" s="46">
        <v>43043</v>
      </c>
      <c r="B15" t="s">
        <v>7</v>
      </c>
      <c r="C15">
        <v>8</v>
      </c>
    </row>
    <row r="16" spans="1:15" x14ac:dyDescent="0.3">
      <c r="A16" s="46">
        <v>43046</v>
      </c>
      <c r="B16" t="s">
        <v>13</v>
      </c>
      <c r="C16">
        <v>15</v>
      </c>
    </row>
    <row r="17" spans="1:3" x14ac:dyDescent="0.3">
      <c r="A17" s="46">
        <v>43040</v>
      </c>
      <c r="B17" t="s">
        <v>13</v>
      </c>
      <c r="C17">
        <v>157</v>
      </c>
    </row>
    <row r="18" spans="1:3" x14ac:dyDescent="0.3">
      <c r="A18" s="46">
        <v>43041</v>
      </c>
      <c r="B18" t="s">
        <v>8</v>
      </c>
      <c r="C18">
        <v>100</v>
      </c>
    </row>
    <row r="19" spans="1:3" x14ac:dyDescent="0.3">
      <c r="A19" s="46">
        <v>43040</v>
      </c>
      <c r="B19" t="s">
        <v>8</v>
      </c>
      <c r="C19">
        <v>9</v>
      </c>
    </row>
    <row r="20" spans="1:3" x14ac:dyDescent="0.3">
      <c r="A20" s="46">
        <v>43043</v>
      </c>
      <c r="B20" t="s">
        <v>7</v>
      </c>
      <c r="C20">
        <v>180</v>
      </c>
    </row>
    <row r="21" spans="1:3" x14ac:dyDescent="0.3">
      <c r="A21" s="46">
        <v>43047</v>
      </c>
      <c r="B21" t="s">
        <v>7</v>
      </c>
      <c r="C21">
        <v>30</v>
      </c>
    </row>
    <row r="22" spans="1:3" x14ac:dyDescent="0.3">
      <c r="A22" s="46">
        <v>43047</v>
      </c>
      <c r="B22" t="s">
        <v>13</v>
      </c>
      <c r="C22">
        <v>88</v>
      </c>
    </row>
    <row r="23" spans="1:3" x14ac:dyDescent="0.3">
      <c r="A23" s="46">
        <v>43042</v>
      </c>
      <c r="B23" t="s">
        <v>7</v>
      </c>
      <c r="C23">
        <v>152</v>
      </c>
    </row>
    <row r="24" spans="1:3" x14ac:dyDescent="0.3">
      <c r="A24" s="46">
        <v>43046</v>
      </c>
      <c r="B24" t="s">
        <v>7</v>
      </c>
      <c r="C24">
        <v>90</v>
      </c>
    </row>
    <row r="25" spans="1:3" x14ac:dyDescent="0.3">
      <c r="A25" s="46">
        <v>43042</v>
      </c>
      <c r="B25" t="s">
        <v>5</v>
      </c>
      <c r="C25">
        <v>112</v>
      </c>
    </row>
    <row r="26" spans="1:3" x14ac:dyDescent="0.3">
      <c r="A26" s="46">
        <v>43045</v>
      </c>
      <c r="B26" t="s">
        <v>5</v>
      </c>
      <c r="C26">
        <v>24</v>
      </c>
    </row>
    <row r="27" spans="1:3" x14ac:dyDescent="0.3">
      <c r="A27" s="46">
        <v>43045</v>
      </c>
      <c r="B27" t="s">
        <v>8</v>
      </c>
      <c r="C27">
        <v>44</v>
      </c>
    </row>
    <row r="28" spans="1:3" x14ac:dyDescent="0.3">
      <c r="A28" s="46">
        <v>43046</v>
      </c>
      <c r="B28" t="s">
        <v>8</v>
      </c>
      <c r="C28">
        <v>154</v>
      </c>
    </row>
    <row r="29" spans="1:3" x14ac:dyDescent="0.3">
      <c r="A29" s="46">
        <v>43044</v>
      </c>
      <c r="B29" t="s">
        <v>13</v>
      </c>
      <c r="C29">
        <v>96</v>
      </c>
    </row>
  </sheetData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A88A0-71D1-4149-831B-B96E7B597440}">
  <sheetPr>
    <tabColor rgb="FF0000FF"/>
  </sheetPr>
  <dimension ref="A1:Q958"/>
  <sheetViews>
    <sheetView topLeftCell="A57" zoomScale="115" zoomScaleNormal="115" workbookViewId="0">
      <selection activeCell="Q3" sqref="Q3"/>
    </sheetView>
  </sheetViews>
  <sheetFormatPr defaultRowHeight="14.4" x14ac:dyDescent="0.3"/>
  <cols>
    <col min="1" max="1" width="15.109375" customWidth="1"/>
    <col min="2" max="3" width="17.109375" customWidth="1"/>
    <col min="4" max="4" width="12.5546875" customWidth="1"/>
    <col min="5" max="5" width="14.77734375" customWidth="1"/>
    <col min="6" max="6" width="10.88671875" customWidth="1"/>
    <col min="7" max="7" width="15" customWidth="1"/>
    <col min="12" max="12" width="11.6640625" customWidth="1"/>
  </cols>
  <sheetData>
    <row r="1" spans="1:17" x14ac:dyDescent="0.3">
      <c r="A1" s="21" t="s">
        <v>38</v>
      </c>
      <c r="L1" t="s">
        <v>33</v>
      </c>
    </row>
    <row r="3" spans="1:17" x14ac:dyDescent="0.3">
      <c r="A3" s="102" t="s">
        <v>1</v>
      </c>
      <c r="B3" s="102" t="s">
        <v>2</v>
      </c>
      <c r="C3" s="102" t="s">
        <v>32</v>
      </c>
      <c r="F3" s="23" t="s">
        <v>34</v>
      </c>
      <c r="G3" s="23" t="s">
        <v>35</v>
      </c>
    </row>
    <row r="4" spans="1:17" x14ac:dyDescent="0.3">
      <c r="A4" s="101">
        <v>43045</v>
      </c>
      <c r="B4" t="s">
        <v>5</v>
      </c>
      <c r="C4">
        <v>190</v>
      </c>
      <c r="F4" s="56">
        <f>SUM(ProductUnittable[Units Sold])</f>
        <v>93046</v>
      </c>
      <c r="G4" s="24">
        <f>MAX(ProductUnittable[Units Sold])</f>
        <v>191</v>
      </c>
      <c r="L4" s="46">
        <v>43044</v>
      </c>
      <c r="M4" t="s">
        <v>5</v>
      </c>
      <c r="N4">
        <v>139</v>
      </c>
      <c r="Q4" t="s">
        <v>111</v>
      </c>
    </row>
    <row r="5" spans="1:17" x14ac:dyDescent="0.3">
      <c r="A5" s="101">
        <v>43040</v>
      </c>
      <c r="B5" t="s">
        <v>5</v>
      </c>
      <c r="C5">
        <v>138</v>
      </c>
      <c r="L5" s="46">
        <v>43043</v>
      </c>
      <c r="M5" t="s">
        <v>7</v>
      </c>
      <c r="N5">
        <v>167</v>
      </c>
    </row>
    <row r="6" spans="1:17" x14ac:dyDescent="0.3">
      <c r="A6" s="101">
        <v>43043</v>
      </c>
      <c r="B6" t="s">
        <v>7</v>
      </c>
      <c r="C6">
        <v>12</v>
      </c>
      <c r="L6" s="46">
        <v>43044</v>
      </c>
      <c r="M6" t="s">
        <v>5</v>
      </c>
      <c r="N6">
        <v>191</v>
      </c>
    </row>
    <row r="7" spans="1:17" x14ac:dyDescent="0.3">
      <c r="A7" s="101">
        <v>43041</v>
      </c>
      <c r="B7" t="s">
        <v>13</v>
      </c>
      <c r="C7">
        <v>45</v>
      </c>
      <c r="L7" s="46">
        <v>43040</v>
      </c>
      <c r="M7" t="s">
        <v>13</v>
      </c>
      <c r="N7">
        <v>84</v>
      </c>
    </row>
    <row r="8" spans="1:17" x14ac:dyDescent="0.3">
      <c r="A8" s="101">
        <v>43043</v>
      </c>
      <c r="B8" t="s">
        <v>5</v>
      </c>
      <c r="C8">
        <v>187</v>
      </c>
      <c r="L8" s="46">
        <v>43043</v>
      </c>
      <c r="M8" t="s">
        <v>13</v>
      </c>
      <c r="N8">
        <v>102</v>
      </c>
    </row>
    <row r="9" spans="1:17" x14ac:dyDescent="0.3">
      <c r="A9" s="101">
        <v>43042</v>
      </c>
      <c r="B9" t="s">
        <v>13</v>
      </c>
      <c r="C9">
        <v>29</v>
      </c>
      <c r="L9" s="46">
        <v>43040</v>
      </c>
      <c r="M9" t="s">
        <v>7</v>
      </c>
      <c r="N9">
        <v>100</v>
      </c>
    </row>
    <row r="10" spans="1:17" x14ac:dyDescent="0.3">
      <c r="A10" s="101">
        <v>43046</v>
      </c>
      <c r="B10" t="s">
        <v>13</v>
      </c>
      <c r="C10">
        <v>106</v>
      </c>
      <c r="L10" s="46">
        <v>43044</v>
      </c>
      <c r="M10" t="s">
        <v>13</v>
      </c>
      <c r="N10">
        <v>107</v>
      </c>
    </row>
    <row r="11" spans="1:17" x14ac:dyDescent="0.3">
      <c r="A11" s="101">
        <v>43041</v>
      </c>
      <c r="B11" t="s">
        <v>5</v>
      </c>
      <c r="C11">
        <v>147</v>
      </c>
      <c r="L11" s="46">
        <v>43044</v>
      </c>
      <c r="M11" t="s">
        <v>13</v>
      </c>
      <c r="N11">
        <v>1</v>
      </c>
    </row>
    <row r="12" spans="1:17" x14ac:dyDescent="0.3">
      <c r="A12" s="101">
        <v>43043</v>
      </c>
      <c r="B12" t="s">
        <v>7</v>
      </c>
      <c r="C12">
        <v>143</v>
      </c>
      <c r="L12" s="46">
        <v>43043</v>
      </c>
      <c r="M12" t="s">
        <v>5</v>
      </c>
      <c r="N12">
        <v>92</v>
      </c>
    </row>
    <row r="13" spans="1:17" x14ac:dyDescent="0.3">
      <c r="A13" s="101">
        <v>43044</v>
      </c>
      <c r="B13" t="s">
        <v>8</v>
      </c>
      <c r="C13">
        <v>33</v>
      </c>
      <c r="L13" s="46">
        <v>43044</v>
      </c>
      <c r="M13" t="s">
        <v>5</v>
      </c>
      <c r="N13">
        <v>18</v>
      </c>
    </row>
    <row r="14" spans="1:17" x14ac:dyDescent="0.3">
      <c r="A14" s="101">
        <v>43045</v>
      </c>
      <c r="B14" t="s">
        <v>8</v>
      </c>
      <c r="C14">
        <v>99</v>
      </c>
      <c r="L14" s="46">
        <v>43045</v>
      </c>
      <c r="M14" t="s">
        <v>5</v>
      </c>
      <c r="N14">
        <v>169</v>
      </c>
    </row>
    <row r="15" spans="1:17" x14ac:dyDescent="0.3">
      <c r="A15" s="101">
        <v>43047</v>
      </c>
      <c r="B15" t="s">
        <v>5</v>
      </c>
      <c r="C15">
        <v>35</v>
      </c>
      <c r="L15" s="46">
        <v>43045</v>
      </c>
      <c r="M15" t="s">
        <v>13</v>
      </c>
      <c r="N15">
        <v>129</v>
      </c>
    </row>
    <row r="16" spans="1:17" x14ac:dyDescent="0.3">
      <c r="A16" s="101">
        <v>43045</v>
      </c>
      <c r="B16" t="s">
        <v>8</v>
      </c>
      <c r="C16">
        <v>21</v>
      </c>
      <c r="L16" s="46">
        <v>43042</v>
      </c>
      <c r="M16" t="s">
        <v>13</v>
      </c>
      <c r="N16">
        <v>30</v>
      </c>
    </row>
    <row r="17" spans="1:14" x14ac:dyDescent="0.3">
      <c r="A17" s="101">
        <v>43047</v>
      </c>
      <c r="B17" t="s">
        <v>7</v>
      </c>
      <c r="C17">
        <v>60</v>
      </c>
      <c r="L17" s="46">
        <v>43041</v>
      </c>
      <c r="M17" t="s">
        <v>5</v>
      </c>
      <c r="N17">
        <v>12</v>
      </c>
    </row>
    <row r="18" spans="1:14" x14ac:dyDescent="0.3">
      <c r="A18" s="101">
        <v>43045</v>
      </c>
      <c r="B18" t="s">
        <v>5</v>
      </c>
      <c r="C18">
        <v>132</v>
      </c>
      <c r="L18" s="46">
        <v>43044</v>
      </c>
      <c r="M18" t="s">
        <v>5</v>
      </c>
      <c r="N18">
        <v>59</v>
      </c>
    </row>
    <row r="19" spans="1:14" x14ac:dyDescent="0.3">
      <c r="A19" s="101">
        <v>43047</v>
      </c>
      <c r="B19" t="s">
        <v>13</v>
      </c>
      <c r="C19">
        <v>156</v>
      </c>
      <c r="L19" s="46">
        <v>43047</v>
      </c>
      <c r="M19" t="s">
        <v>7</v>
      </c>
      <c r="N19">
        <v>120</v>
      </c>
    </row>
    <row r="20" spans="1:14" x14ac:dyDescent="0.3">
      <c r="A20" s="101">
        <v>43045</v>
      </c>
      <c r="B20" t="s">
        <v>13</v>
      </c>
      <c r="C20">
        <v>120</v>
      </c>
      <c r="L20" s="46">
        <v>43043</v>
      </c>
      <c r="M20" t="s">
        <v>7</v>
      </c>
      <c r="N20">
        <v>72</v>
      </c>
    </row>
    <row r="21" spans="1:14" x14ac:dyDescent="0.3">
      <c r="A21" s="101">
        <v>43043</v>
      </c>
      <c r="B21" t="s">
        <v>8</v>
      </c>
      <c r="C21">
        <v>55</v>
      </c>
      <c r="L21" s="46">
        <v>43045</v>
      </c>
      <c r="M21" t="s">
        <v>13</v>
      </c>
      <c r="N21">
        <v>111</v>
      </c>
    </row>
    <row r="22" spans="1:14" x14ac:dyDescent="0.3">
      <c r="A22" s="101">
        <v>43042</v>
      </c>
      <c r="B22" t="s">
        <v>8</v>
      </c>
      <c r="C22">
        <v>165</v>
      </c>
      <c r="L22" s="46">
        <v>43040</v>
      </c>
      <c r="M22" t="s">
        <v>13</v>
      </c>
      <c r="N22">
        <v>182</v>
      </c>
    </row>
    <row r="23" spans="1:14" x14ac:dyDescent="0.3">
      <c r="A23" s="101">
        <v>43046</v>
      </c>
      <c r="B23" t="s">
        <v>8</v>
      </c>
      <c r="C23">
        <v>124</v>
      </c>
      <c r="L23" s="46">
        <v>43041</v>
      </c>
      <c r="M23" t="s">
        <v>7</v>
      </c>
      <c r="N23">
        <v>175</v>
      </c>
    </row>
    <row r="24" spans="1:14" x14ac:dyDescent="0.3">
      <c r="A24" s="101">
        <v>43046</v>
      </c>
      <c r="B24" t="s">
        <v>13</v>
      </c>
      <c r="C24">
        <v>155</v>
      </c>
      <c r="L24" s="46">
        <v>43043</v>
      </c>
      <c r="M24" t="s">
        <v>5</v>
      </c>
      <c r="N24">
        <v>8</v>
      </c>
    </row>
    <row r="25" spans="1:14" x14ac:dyDescent="0.3">
      <c r="A25" s="101">
        <v>43045</v>
      </c>
      <c r="B25" t="s">
        <v>5</v>
      </c>
      <c r="C25">
        <v>33</v>
      </c>
      <c r="L25" s="46">
        <v>43041</v>
      </c>
      <c r="M25" t="s">
        <v>13</v>
      </c>
      <c r="N25">
        <v>69</v>
      </c>
    </row>
    <row r="26" spans="1:14" x14ac:dyDescent="0.3">
      <c r="A26" s="101">
        <v>43047</v>
      </c>
      <c r="B26" t="s">
        <v>8</v>
      </c>
      <c r="C26">
        <v>76</v>
      </c>
      <c r="L26" s="46">
        <v>43044</v>
      </c>
      <c r="M26" t="s">
        <v>5</v>
      </c>
      <c r="N26">
        <v>60</v>
      </c>
    </row>
    <row r="27" spans="1:14" x14ac:dyDescent="0.3">
      <c r="A27" s="101">
        <v>43044</v>
      </c>
      <c r="B27" t="s">
        <v>8</v>
      </c>
      <c r="C27">
        <v>49</v>
      </c>
      <c r="L27" s="46">
        <v>43046</v>
      </c>
      <c r="M27" t="s">
        <v>5</v>
      </c>
      <c r="N27">
        <v>25</v>
      </c>
    </row>
    <row r="28" spans="1:14" x14ac:dyDescent="0.3">
      <c r="A28" s="101">
        <v>43042</v>
      </c>
      <c r="B28" t="s">
        <v>13</v>
      </c>
      <c r="C28">
        <v>26</v>
      </c>
      <c r="L28" s="46">
        <v>43045</v>
      </c>
      <c r="M28" t="s">
        <v>8</v>
      </c>
      <c r="N28">
        <v>118</v>
      </c>
    </row>
    <row r="29" spans="1:14" x14ac:dyDescent="0.3">
      <c r="A29" s="101">
        <v>43041</v>
      </c>
      <c r="B29" t="s">
        <v>8</v>
      </c>
      <c r="C29">
        <v>30</v>
      </c>
      <c r="L29" s="46">
        <v>43045</v>
      </c>
      <c r="M29" t="s">
        <v>7</v>
      </c>
      <c r="N29">
        <v>63</v>
      </c>
    </row>
    <row r="30" spans="1:14" x14ac:dyDescent="0.3">
      <c r="A30" s="101">
        <v>43042</v>
      </c>
      <c r="B30" t="s">
        <v>7</v>
      </c>
      <c r="C30">
        <v>116</v>
      </c>
      <c r="L30" s="46">
        <v>43047</v>
      </c>
      <c r="M30" t="s">
        <v>7</v>
      </c>
      <c r="N30">
        <v>123</v>
      </c>
    </row>
    <row r="31" spans="1:14" x14ac:dyDescent="0.3">
      <c r="A31" s="101">
        <v>43041</v>
      </c>
      <c r="B31" t="s">
        <v>5</v>
      </c>
      <c r="C31">
        <v>45</v>
      </c>
      <c r="L31" s="46">
        <v>43042</v>
      </c>
      <c r="M31" t="s">
        <v>8</v>
      </c>
      <c r="N31">
        <v>90</v>
      </c>
    </row>
    <row r="32" spans="1:14" x14ac:dyDescent="0.3">
      <c r="A32" s="101">
        <v>43041</v>
      </c>
      <c r="B32" t="s">
        <v>13</v>
      </c>
      <c r="C32">
        <v>47</v>
      </c>
      <c r="L32" s="46">
        <v>43047</v>
      </c>
      <c r="M32" t="s">
        <v>8</v>
      </c>
      <c r="N32">
        <v>41</v>
      </c>
    </row>
    <row r="33" spans="1:14" x14ac:dyDescent="0.3">
      <c r="A33" s="101">
        <v>43044</v>
      </c>
      <c r="B33" t="s">
        <v>7</v>
      </c>
      <c r="C33">
        <v>113</v>
      </c>
      <c r="L33" s="46">
        <v>43047</v>
      </c>
      <c r="M33" t="s">
        <v>7</v>
      </c>
      <c r="N33">
        <v>162</v>
      </c>
    </row>
    <row r="34" spans="1:14" x14ac:dyDescent="0.3">
      <c r="A34" s="101">
        <v>43043</v>
      </c>
      <c r="B34" t="s">
        <v>7</v>
      </c>
      <c r="C34">
        <v>70</v>
      </c>
      <c r="L34" s="46">
        <v>43046</v>
      </c>
      <c r="M34" t="s">
        <v>5</v>
      </c>
      <c r="N34">
        <v>9</v>
      </c>
    </row>
    <row r="35" spans="1:14" x14ac:dyDescent="0.3">
      <c r="A35" s="101">
        <v>43043</v>
      </c>
      <c r="B35" t="s">
        <v>7</v>
      </c>
      <c r="C35">
        <v>173</v>
      </c>
      <c r="L35" s="46">
        <v>43046</v>
      </c>
      <c r="M35" t="s">
        <v>5</v>
      </c>
      <c r="N35">
        <v>161</v>
      </c>
    </row>
    <row r="36" spans="1:14" x14ac:dyDescent="0.3">
      <c r="A36" s="101">
        <v>43044</v>
      </c>
      <c r="B36" t="s">
        <v>5</v>
      </c>
      <c r="C36">
        <v>54</v>
      </c>
      <c r="L36" s="46">
        <v>43046</v>
      </c>
      <c r="M36" t="s">
        <v>13</v>
      </c>
      <c r="N36">
        <v>30</v>
      </c>
    </row>
    <row r="37" spans="1:14" x14ac:dyDescent="0.3">
      <c r="A37" s="101">
        <v>43041</v>
      </c>
      <c r="B37" t="s">
        <v>5</v>
      </c>
      <c r="C37">
        <v>122</v>
      </c>
      <c r="L37" s="46">
        <v>43044</v>
      </c>
      <c r="M37" t="s">
        <v>5</v>
      </c>
      <c r="N37">
        <v>120</v>
      </c>
    </row>
    <row r="38" spans="1:14" x14ac:dyDescent="0.3">
      <c r="A38" s="101">
        <v>43040</v>
      </c>
      <c r="B38" t="s">
        <v>13</v>
      </c>
      <c r="C38">
        <v>3</v>
      </c>
      <c r="L38" s="46">
        <v>43044</v>
      </c>
      <c r="M38" t="s">
        <v>8</v>
      </c>
      <c r="N38">
        <v>39</v>
      </c>
    </row>
    <row r="39" spans="1:14" x14ac:dyDescent="0.3">
      <c r="A39" s="101">
        <v>43042</v>
      </c>
      <c r="B39" t="s">
        <v>8</v>
      </c>
      <c r="C39">
        <v>122</v>
      </c>
      <c r="L39" s="46">
        <v>43047</v>
      </c>
      <c r="M39" t="s">
        <v>5</v>
      </c>
      <c r="N39">
        <v>131</v>
      </c>
    </row>
    <row r="40" spans="1:14" x14ac:dyDescent="0.3">
      <c r="A40" s="101">
        <v>43041</v>
      </c>
      <c r="B40" t="s">
        <v>8</v>
      </c>
      <c r="C40">
        <v>81</v>
      </c>
      <c r="L40" s="46">
        <v>43045</v>
      </c>
      <c r="M40" t="s">
        <v>13</v>
      </c>
      <c r="N40">
        <v>90</v>
      </c>
    </row>
    <row r="41" spans="1:14" x14ac:dyDescent="0.3">
      <c r="A41" s="101">
        <v>43045</v>
      </c>
      <c r="B41" t="s">
        <v>8</v>
      </c>
      <c r="C41">
        <v>21</v>
      </c>
      <c r="L41" s="46">
        <v>43044</v>
      </c>
      <c r="M41" t="s">
        <v>7</v>
      </c>
      <c r="N41">
        <v>171</v>
      </c>
    </row>
    <row r="42" spans="1:14" x14ac:dyDescent="0.3">
      <c r="A42" s="101">
        <v>43042</v>
      </c>
      <c r="B42" t="s">
        <v>5</v>
      </c>
      <c r="C42">
        <v>144</v>
      </c>
      <c r="L42" s="46">
        <v>43045</v>
      </c>
      <c r="M42" t="s">
        <v>7</v>
      </c>
      <c r="N42">
        <v>158</v>
      </c>
    </row>
    <row r="43" spans="1:14" x14ac:dyDescent="0.3">
      <c r="A43" s="101">
        <v>43046</v>
      </c>
      <c r="B43" t="s">
        <v>13</v>
      </c>
      <c r="C43">
        <v>139</v>
      </c>
      <c r="L43" s="46">
        <v>43041</v>
      </c>
      <c r="M43" t="s">
        <v>7</v>
      </c>
      <c r="N43">
        <v>130</v>
      </c>
    </row>
    <row r="44" spans="1:14" x14ac:dyDescent="0.3">
      <c r="A44" s="101">
        <v>43042</v>
      </c>
      <c r="B44" t="s">
        <v>13</v>
      </c>
      <c r="C44">
        <v>105</v>
      </c>
      <c r="L44" s="46">
        <v>43046</v>
      </c>
      <c r="M44" t="s">
        <v>13</v>
      </c>
      <c r="N44">
        <v>149</v>
      </c>
    </row>
    <row r="45" spans="1:14" x14ac:dyDescent="0.3">
      <c r="A45" s="101">
        <v>43043</v>
      </c>
      <c r="B45" t="s">
        <v>5</v>
      </c>
      <c r="C45">
        <v>14</v>
      </c>
      <c r="L45" s="46">
        <v>43047</v>
      </c>
      <c r="M45" t="s">
        <v>5</v>
      </c>
      <c r="N45">
        <v>143</v>
      </c>
    </row>
    <row r="46" spans="1:14" x14ac:dyDescent="0.3">
      <c r="A46" s="101">
        <v>43043</v>
      </c>
      <c r="B46" t="s">
        <v>5</v>
      </c>
      <c r="C46">
        <v>95</v>
      </c>
      <c r="L46" s="46">
        <v>43040</v>
      </c>
      <c r="M46" t="s">
        <v>13</v>
      </c>
      <c r="N46">
        <v>48</v>
      </c>
    </row>
    <row r="47" spans="1:14" x14ac:dyDescent="0.3">
      <c r="A47" s="101">
        <v>43042</v>
      </c>
      <c r="B47" t="s">
        <v>7</v>
      </c>
      <c r="C47">
        <v>142</v>
      </c>
      <c r="L47" s="46">
        <v>43044</v>
      </c>
      <c r="M47" t="s">
        <v>8</v>
      </c>
      <c r="N47">
        <v>17</v>
      </c>
    </row>
    <row r="48" spans="1:14" x14ac:dyDescent="0.3">
      <c r="A48" s="101">
        <v>43040</v>
      </c>
      <c r="B48" t="s">
        <v>13</v>
      </c>
      <c r="C48">
        <v>150</v>
      </c>
      <c r="L48" s="46">
        <v>43042</v>
      </c>
      <c r="M48" t="s">
        <v>7</v>
      </c>
      <c r="N48">
        <v>35</v>
      </c>
    </row>
    <row r="49" spans="1:14" x14ac:dyDescent="0.3">
      <c r="A49" s="101">
        <v>43045</v>
      </c>
      <c r="B49" t="s">
        <v>8</v>
      </c>
      <c r="C49">
        <v>79</v>
      </c>
      <c r="L49" s="46">
        <v>43044</v>
      </c>
      <c r="M49" t="s">
        <v>5</v>
      </c>
      <c r="N49">
        <v>168</v>
      </c>
    </row>
    <row r="50" spans="1:14" x14ac:dyDescent="0.3">
      <c r="A50" s="101">
        <v>43040</v>
      </c>
      <c r="B50" t="s">
        <v>13</v>
      </c>
      <c r="C50">
        <v>57</v>
      </c>
      <c r="L50" s="46">
        <v>43041</v>
      </c>
      <c r="M50" t="s">
        <v>5</v>
      </c>
      <c r="N50">
        <v>106</v>
      </c>
    </row>
    <row r="51" spans="1:14" x14ac:dyDescent="0.3">
      <c r="A51" s="101">
        <v>43043</v>
      </c>
      <c r="B51" t="s">
        <v>13</v>
      </c>
      <c r="C51">
        <v>62</v>
      </c>
      <c r="L51" s="46">
        <v>43044</v>
      </c>
      <c r="M51" t="s">
        <v>8</v>
      </c>
      <c r="N51">
        <v>36</v>
      </c>
    </row>
    <row r="52" spans="1:14" x14ac:dyDescent="0.3">
      <c r="A52" s="101">
        <v>43041</v>
      </c>
      <c r="B52" t="s">
        <v>13</v>
      </c>
      <c r="C52">
        <v>177</v>
      </c>
      <c r="L52" s="46">
        <v>43041</v>
      </c>
      <c r="M52" t="s">
        <v>8</v>
      </c>
      <c r="N52">
        <v>19</v>
      </c>
    </row>
    <row r="53" spans="1:14" x14ac:dyDescent="0.3">
      <c r="A53" s="101">
        <v>43044</v>
      </c>
      <c r="B53" t="s">
        <v>5</v>
      </c>
      <c r="C53">
        <v>165</v>
      </c>
      <c r="L53" s="46">
        <v>43044</v>
      </c>
      <c r="M53" t="s">
        <v>8</v>
      </c>
      <c r="N53">
        <v>173</v>
      </c>
    </row>
    <row r="54" spans="1:14" x14ac:dyDescent="0.3">
      <c r="A54" s="101">
        <v>43041</v>
      </c>
      <c r="B54" t="s">
        <v>8</v>
      </c>
      <c r="C54">
        <v>37</v>
      </c>
      <c r="L54" s="46">
        <v>43042</v>
      </c>
      <c r="M54" t="s">
        <v>7</v>
      </c>
      <c r="N54">
        <v>66</v>
      </c>
    </row>
    <row r="55" spans="1:14" x14ac:dyDescent="0.3">
      <c r="A55" s="101">
        <v>43044</v>
      </c>
      <c r="B55" t="s">
        <v>8</v>
      </c>
      <c r="C55">
        <v>181</v>
      </c>
      <c r="L55" s="46">
        <v>43045</v>
      </c>
      <c r="M55" t="s">
        <v>8</v>
      </c>
      <c r="N55">
        <v>25</v>
      </c>
    </row>
    <row r="56" spans="1:14" x14ac:dyDescent="0.3">
      <c r="A56" s="101">
        <v>43043</v>
      </c>
      <c r="B56" t="s">
        <v>8</v>
      </c>
      <c r="C56">
        <v>148</v>
      </c>
      <c r="L56" s="46">
        <v>43043</v>
      </c>
      <c r="M56" t="s">
        <v>5</v>
      </c>
      <c r="N56">
        <v>47</v>
      </c>
    </row>
    <row r="57" spans="1:14" x14ac:dyDescent="0.3">
      <c r="A57" s="101">
        <v>43047</v>
      </c>
      <c r="B57" t="s">
        <v>5</v>
      </c>
      <c r="C57">
        <v>132</v>
      </c>
      <c r="L57" s="46">
        <v>43047</v>
      </c>
      <c r="M57" t="s">
        <v>5</v>
      </c>
      <c r="N57">
        <v>49</v>
      </c>
    </row>
    <row r="58" spans="1:14" x14ac:dyDescent="0.3">
      <c r="A58" s="101">
        <v>43045</v>
      </c>
      <c r="B58" t="s">
        <v>13</v>
      </c>
      <c r="C58">
        <v>3</v>
      </c>
      <c r="L58" s="46">
        <v>43047</v>
      </c>
      <c r="M58" t="s">
        <v>7</v>
      </c>
      <c r="N58">
        <v>1</v>
      </c>
    </row>
    <row r="59" spans="1:14" x14ac:dyDescent="0.3">
      <c r="A59" s="101">
        <v>43040</v>
      </c>
      <c r="B59" t="s">
        <v>13</v>
      </c>
      <c r="C59">
        <v>121</v>
      </c>
      <c r="L59" s="46">
        <v>43042</v>
      </c>
      <c r="M59" t="s">
        <v>13</v>
      </c>
      <c r="N59">
        <v>75</v>
      </c>
    </row>
    <row r="60" spans="1:14" x14ac:dyDescent="0.3">
      <c r="A60" s="101">
        <v>43047</v>
      </c>
      <c r="B60" t="s">
        <v>8</v>
      </c>
      <c r="C60">
        <v>104</v>
      </c>
      <c r="L60" s="46">
        <v>43045</v>
      </c>
      <c r="M60" t="s">
        <v>5</v>
      </c>
      <c r="N60">
        <v>137</v>
      </c>
    </row>
    <row r="61" spans="1:14" x14ac:dyDescent="0.3">
      <c r="A61" s="101">
        <v>43047</v>
      </c>
      <c r="B61" t="s">
        <v>8</v>
      </c>
      <c r="C61">
        <v>155</v>
      </c>
      <c r="L61" s="46">
        <v>43040</v>
      </c>
      <c r="M61" t="s">
        <v>13</v>
      </c>
      <c r="N61">
        <v>101</v>
      </c>
    </row>
    <row r="62" spans="1:14" x14ac:dyDescent="0.3">
      <c r="A62" s="101">
        <v>43045</v>
      </c>
      <c r="B62" t="s">
        <v>13</v>
      </c>
      <c r="C62">
        <v>129</v>
      </c>
      <c r="L62" s="46">
        <v>43046</v>
      </c>
      <c r="M62" t="s">
        <v>7</v>
      </c>
      <c r="N62">
        <v>11</v>
      </c>
    </row>
    <row r="63" spans="1:14" x14ac:dyDescent="0.3">
      <c r="A63" s="101">
        <v>43040</v>
      </c>
      <c r="B63" t="s">
        <v>13</v>
      </c>
      <c r="C63">
        <v>72</v>
      </c>
      <c r="L63" s="46">
        <v>43042</v>
      </c>
      <c r="M63" t="s">
        <v>8</v>
      </c>
      <c r="N63">
        <v>42</v>
      </c>
    </row>
    <row r="64" spans="1:14" x14ac:dyDescent="0.3">
      <c r="A64" s="101">
        <v>43044</v>
      </c>
      <c r="B64" t="s">
        <v>7</v>
      </c>
      <c r="C64">
        <v>164</v>
      </c>
      <c r="L64" s="46">
        <v>43040</v>
      </c>
      <c r="M64" t="s">
        <v>5</v>
      </c>
      <c r="N64">
        <v>185</v>
      </c>
    </row>
    <row r="65" spans="1:14" x14ac:dyDescent="0.3">
      <c r="A65" s="101">
        <v>43042</v>
      </c>
      <c r="B65" t="s">
        <v>13</v>
      </c>
      <c r="C65">
        <v>6</v>
      </c>
      <c r="L65" s="46">
        <v>43043</v>
      </c>
      <c r="M65" t="s">
        <v>5</v>
      </c>
      <c r="N65">
        <v>160</v>
      </c>
    </row>
    <row r="66" spans="1:14" x14ac:dyDescent="0.3">
      <c r="A66" s="101">
        <v>43040</v>
      </c>
      <c r="B66" t="s">
        <v>8</v>
      </c>
      <c r="C66">
        <v>46</v>
      </c>
      <c r="L66" s="46">
        <v>43043</v>
      </c>
      <c r="M66" t="s">
        <v>5</v>
      </c>
      <c r="N66">
        <v>7</v>
      </c>
    </row>
    <row r="67" spans="1:14" x14ac:dyDescent="0.3">
      <c r="A67" s="101">
        <v>43047</v>
      </c>
      <c r="B67" t="s">
        <v>13</v>
      </c>
      <c r="C67">
        <v>182</v>
      </c>
      <c r="L67" s="46">
        <v>43044</v>
      </c>
      <c r="M67" t="s">
        <v>13</v>
      </c>
      <c r="N67">
        <v>1</v>
      </c>
    </row>
    <row r="68" spans="1:14" x14ac:dyDescent="0.3">
      <c r="A68" s="101">
        <v>43041</v>
      </c>
      <c r="B68" t="s">
        <v>13</v>
      </c>
      <c r="C68">
        <v>11</v>
      </c>
      <c r="L68" s="46">
        <v>43045</v>
      </c>
      <c r="M68" t="s">
        <v>5</v>
      </c>
      <c r="N68">
        <v>80</v>
      </c>
    </row>
    <row r="69" spans="1:14" x14ac:dyDescent="0.3">
      <c r="A69" s="101">
        <v>43047</v>
      </c>
      <c r="B69" t="s">
        <v>7</v>
      </c>
      <c r="C69">
        <v>18</v>
      </c>
      <c r="L69" s="46">
        <v>43047</v>
      </c>
      <c r="M69" t="s">
        <v>7</v>
      </c>
      <c r="N69">
        <v>117</v>
      </c>
    </row>
    <row r="70" spans="1:14" x14ac:dyDescent="0.3">
      <c r="A70" s="101">
        <v>43045</v>
      </c>
      <c r="B70" t="s">
        <v>13</v>
      </c>
      <c r="C70">
        <v>152</v>
      </c>
      <c r="L70" s="46">
        <v>43041</v>
      </c>
      <c r="M70" t="s">
        <v>8</v>
      </c>
      <c r="N70">
        <v>37</v>
      </c>
    </row>
    <row r="71" spans="1:14" x14ac:dyDescent="0.3">
      <c r="A71" s="101">
        <v>43040</v>
      </c>
      <c r="B71" t="s">
        <v>8</v>
      </c>
      <c r="C71">
        <v>41</v>
      </c>
      <c r="L71" s="46">
        <v>43040</v>
      </c>
      <c r="M71" t="s">
        <v>5</v>
      </c>
      <c r="N71">
        <v>179</v>
      </c>
    </row>
    <row r="72" spans="1:14" x14ac:dyDescent="0.3">
      <c r="A72" s="101">
        <v>43045</v>
      </c>
      <c r="B72" t="s">
        <v>13</v>
      </c>
      <c r="C72">
        <v>11</v>
      </c>
      <c r="L72" s="46">
        <v>43046</v>
      </c>
      <c r="M72" t="s">
        <v>7</v>
      </c>
      <c r="N72">
        <v>60</v>
      </c>
    </row>
    <row r="73" spans="1:14" x14ac:dyDescent="0.3">
      <c r="A73" s="101">
        <v>43047</v>
      </c>
      <c r="B73" t="s">
        <v>13</v>
      </c>
      <c r="C73">
        <v>148</v>
      </c>
      <c r="L73" s="46">
        <v>43043</v>
      </c>
      <c r="M73" t="s">
        <v>8</v>
      </c>
      <c r="N73">
        <v>60</v>
      </c>
    </row>
    <row r="74" spans="1:14" x14ac:dyDescent="0.3">
      <c r="A74" s="101">
        <v>43044</v>
      </c>
      <c r="B74" t="s">
        <v>13</v>
      </c>
      <c r="C74">
        <v>154</v>
      </c>
      <c r="L74" s="46">
        <v>43044</v>
      </c>
      <c r="M74" t="s">
        <v>7</v>
      </c>
      <c r="N74">
        <v>79</v>
      </c>
    </row>
    <row r="75" spans="1:14" x14ac:dyDescent="0.3">
      <c r="A75" s="101">
        <v>43041</v>
      </c>
      <c r="B75" t="s">
        <v>8</v>
      </c>
      <c r="C75">
        <v>115</v>
      </c>
      <c r="L75" s="46">
        <v>43047</v>
      </c>
      <c r="M75" t="s">
        <v>7</v>
      </c>
      <c r="N75">
        <v>63</v>
      </c>
    </row>
    <row r="76" spans="1:14" x14ac:dyDescent="0.3">
      <c r="A76" s="101">
        <v>43046</v>
      </c>
      <c r="B76" t="s">
        <v>7</v>
      </c>
      <c r="C76">
        <v>122</v>
      </c>
      <c r="L76" s="46">
        <v>43040</v>
      </c>
      <c r="M76" t="s">
        <v>5</v>
      </c>
      <c r="N76">
        <v>145</v>
      </c>
    </row>
    <row r="77" spans="1:14" x14ac:dyDescent="0.3">
      <c r="A77" s="101">
        <v>43047</v>
      </c>
      <c r="B77" t="s">
        <v>13</v>
      </c>
      <c r="C77">
        <v>3</v>
      </c>
      <c r="L77" s="46">
        <v>43045</v>
      </c>
      <c r="M77" t="s">
        <v>13</v>
      </c>
      <c r="N77">
        <v>39</v>
      </c>
    </row>
    <row r="78" spans="1:14" x14ac:dyDescent="0.3">
      <c r="A78" s="101">
        <v>43046</v>
      </c>
      <c r="B78" t="s">
        <v>7</v>
      </c>
      <c r="C78">
        <v>26</v>
      </c>
      <c r="L78" s="46">
        <v>43043</v>
      </c>
      <c r="M78" t="s">
        <v>7</v>
      </c>
      <c r="N78">
        <v>117</v>
      </c>
    </row>
    <row r="79" spans="1:14" x14ac:dyDescent="0.3">
      <c r="A79" s="101">
        <v>43043</v>
      </c>
      <c r="B79" t="s">
        <v>5</v>
      </c>
      <c r="C79">
        <v>162</v>
      </c>
      <c r="L79" s="46">
        <v>43044</v>
      </c>
      <c r="M79" t="s">
        <v>8</v>
      </c>
      <c r="N79">
        <v>127</v>
      </c>
    </row>
    <row r="80" spans="1:14" x14ac:dyDescent="0.3">
      <c r="A80" s="101">
        <v>43046</v>
      </c>
      <c r="B80" t="s">
        <v>7</v>
      </c>
      <c r="C80">
        <v>21</v>
      </c>
      <c r="L80" s="46">
        <v>43047</v>
      </c>
      <c r="M80" t="s">
        <v>7</v>
      </c>
      <c r="N80">
        <v>13</v>
      </c>
    </row>
    <row r="81" spans="1:14" x14ac:dyDescent="0.3">
      <c r="A81" s="101">
        <v>43042</v>
      </c>
      <c r="B81" t="s">
        <v>7</v>
      </c>
      <c r="C81">
        <v>42</v>
      </c>
      <c r="L81" s="46">
        <v>43044</v>
      </c>
      <c r="M81" t="s">
        <v>7</v>
      </c>
      <c r="N81">
        <v>92</v>
      </c>
    </row>
    <row r="82" spans="1:14" x14ac:dyDescent="0.3">
      <c r="A82" s="101">
        <v>43044</v>
      </c>
      <c r="B82" t="s">
        <v>5</v>
      </c>
      <c r="C82">
        <v>82</v>
      </c>
      <c r="L82" s="46">
        <v>43047</v>
      </c>
      <c r="M82" t="s">
        <v>7</v>
      </c>
      <c r="N82">
        <v>147</v>
      </c>
    </row>
    <row r="83" spans="1:14" x14ac:dyDescent="0.3">
      <c r="A83" s="101">
        <v>43046</v>
      </c>
      <c r="B83" t="s">
        <v>13</v>
      </c>
      <c r="C83">
        <v>78</v>
      </c>
      <c r="L83" s="46">
        <v>43041</v>
      </c>
      <c r="M83" t="s">
        <v>5</v>
      </c>
      <c r="N83">
        <v>175</v>
      </c>
    </row>
    <row r="84" spans="1:14" x14ac:dyDescent="0.3">
      <c r="A84" s="101">
        <v>43047</v>
      </c>
      <c r="B84" t="s">
        <v>8</v>
      </c>
      <c r="C84">
        <v>127</v>
      </c>
      <c r="L84" s="46">
        <v>43041</v>
      </c>
      <c r="M84" t="s">
        <v>7</v>
      </c>
      <c r="N84">
        <v>165</v>
      </c>
    </row>
    <row r="85" spans="1:14" x14ac:dyDescent="0.3">
      <c r="A85" s="101">
        <v>43040</v>
      </c>
      <c r="B85" t="s">
        <v>7</v>
      </c>
      <c r="C85">
        <v>64</v>
      </c>
      <c r="L85" s="46">
        <v>43041</v>
      </c>
      <c r="M85" t="s">
        <v>5</v>
      </c>
      <c r="N85">
        <v>10</v>
      </c>
    </row>
    <row r="86" spans="1:14" x14ac:dyDescent="0.3">
      <c r="A86" s="101">
        <v>43044</v>
      </c>
      <c r="B86" t="s">
        <v>7</v>
      </c>
      <c r="C86">
        <v>152</v>
      </c>
      <c r="L86" s="46">
        <v>43042</v>
      </c>
      <c r="M86" t="s">
        <v>8</v>
      </c>
      <c r="N86">
        <v>110</v>
      </c>
    </row>
    <row r="87" spans="1:14" x14ac:dyDescent="0.3">
      <c r="A87" s="101">
        <v>43042</v>
      </c>
      <c r="B87" t="s">
        <v>13</v>
      </c>
      <c r="C87">
        <v>53</v>
      </c>
      <c r="L87" s="46">
        <v>43040</v>
      </c>
      <c r="M87" t="s">
        <v>7</v>
      </c>
      <c r="N87">
        <v>133</v>
      </c>
    </row>
    <row r="88" spans="1:14" x14ac:dyDescent="0.3">
      <c r="A88" s="101">
        <v>43044</v>
      </c>
      <c r="B88" t="s">
        <v>7</v>
      </c>
      <c r="C88">
        <v>11</v>
      </c>
      <c r="L88" s="46">
        <v>43041</v>
      </c>
      <c r="M88" t="s">
        <v>5</v>
      </c>
      <c r="N88">
        <v>191</v>
      </c>
    </row>
    <row r="89" spans="1:14" x14ac:dyDescent="0.3">
      <c r="A89" s="101">
        <v>43043</v>
      </c>
      <c r="B89" t="s">
        <v>5</v>
      </c>
      <c r="C89">
        <v>170</v>
      </c>
      <c r="L89" s="46">
        <v>43043</v>
      </c>
      <c r="M89" t="s">
        <v>7</v>
      </c>
      <c r="N89">
        <v>123</v>
      </c>
    </row>
    <row r="90" spans="1:14" x14ac:dyDescent="0.3">
      <c r="A90" s="101">
        <v>43041</v>
      </c>
      <c r="B90" t="s">
        <v>13</v>
      </c>
      <c r="C90">
        <v>170</v>
      </c>
      <c r="L90" s="46">
        <v>43046</v>
      </c>
      <c r="M90" t="s">
        <v>8</v>
      </c>
      <c r="N90">
        <v>26</v>
      </c>
    </row>
    <row r="91" spans="1:14" x14ac:dyDescent="0.3">
      <c r="A91" s="101">
        <v>43047</v>
      </c>
      <c r="B91" t="s">
        <v>8</v>
      </c>
      <c r="C91">
        <v>31</v>
      </c>
      <c r="L91" s="46">
        <v>43047</v>
      </c>
      <c r="M91" t="s">
        <v>7</v>
      </c>
      <c r="N91">
        <v>88</v>
      </c>
    </row>
    <row r="92" spans="1:14" x14ac:dyDescent="0.3">
      <c r="A92" s="101">
        <v>43041</v>
      </c>
      <c r="B92" t="s">
        <v>7</v>
      </c>
      <c r="C92">
        <v>7</v>
      </c>
      <c r="L92" s="46">
        <v>43046</v>
      </c>
      <c r="M92" t="s">
        <v>8</v>
      </c>
      <c r="N92">
        <v>119</v>
      </c>
    </row>
    <row r="93" spans="1:14" x14ac:dyDescent="0.3">
      <c r="A93" s="101">
        <v>43046</v>
      </c>
      <c r="B93" t="s">
        <v>7</v>
      </c>
      <c r="C93">
        <v>175</v>
      </c>
      <c r="L93" s="46">
        <v>43043</v>
      </c>
      <c r="M93" t="s">
        <v>7</v>
      </c>
      <c r="N93">
        <v>78</v>
      </c>
    </row>
    <row r="94" spans="1:14" x14ac:dyDescent="0.3">
      <c r="A94" s="101">
        <v>43047</v>
      </c>
      <c r="B94" t="s">
        <v>8</v>
      </c>
      <c r="C94">
        <v>107</v>
      </c>
      <c r="L94" s="46">
        <v>43040</v>
      </c>
      <c r="M94" t="s">
        <v>13</v>
      </c>
      <c r="N94">
        <v>141</v>
      </c>
    </row>
    <row r="95" spans="1:14" x14ac:dyDescent="0.3">
      <c r="A95" s="101">
        <v>43046</v>
      </c>
      <c r="B95" t="s">
        <v>13</v>
      </c>
      <c r="C95">
        <v>123</v>
      </c>
      <c r="L95" s="46">
        <v>43040</v>
      </c>
      <c r="M95" t="s">
        <v>5</v>
      </c>
      <c r="N95">
        <v>187</v>
      </c>
    </row>
    <row r="96" spans="1:14" x14ac:dyDescent="0.3">
      <c r="A96" s="101">
        <v>43045</v>
      </c>
      <c r="B96" t="s">
        <v>13</v>
      </c>
      <c r="C96">
        <v>21</v>
      </c>
      <c r="L96" s="46">
        <v>43043</v>
      </c>
      <c r="M96" t="s">
        <v>7</v>
      </c>
      <c r="N96">
        <v>2</v>
      </c>
    </row>
    <row r="97" spans="1:14" x14ac:dyDescent="0.3">
      <c r="A97" s="101">
        <v>43040</v>
      </c>
      <c r="B97" t="s">
        <v>8</v>
      </c>
      <c r="C97">
        <v>8</v>
      </c>
      <c r="L97" s="46">
        <v>43044</v>
      </c>
      <c r="M97" t="s">
        <v>5</v>
      </c>
      <c r="N97">
        <v>163</v>
      </c>
    </row>
    <row r="98" spans="1:14" x14ac:dyDescent="0.3">
      <c r="A98" s="101">
        <v>43042</v>
      </c>
      <c r="B98" t="s">
        <v>5</v>
      </c>
      <c r="C98">
        <v>115</v>
      </c>
      <c r="L98" s="46">
        <v>43045</v>
      </c>
      <c r="M98" t="s">
        <v>7</v>
      </c>
      <c r="N98">
        <v>106</v>
      </c>
    </row>
    <row r="99" spans="1:14" x14ac:dyDescent="0.3">
      <c r="A99" s="101">
        <v>43043</v>
      </c>
      <c r="B99" t="s">
        <v>13</v>
      </c>
      <c r="C99">
        <v>50</v>
      </c>
      <c r="L99" s="46">
        <v>43044</v>
      </c>
      <c r="M99" t="s">
        <v>13</v>
      </c>
      <c r="N99">
        <v>9</v>
      </c>
    </row>
    <row r="100" spans="1:14" x14ac:dyDescent="0.3">
      <c r="A100" s="101">
        <v>43047</v>
      </c>
      <c r="B100" t="s">
        <v>13</v>
      </c>
      <c r="C100">
        <v>121</v>
      </c>
      <c r="L100" s="46">
        <v>43040</v>
      </c>
      <c r="M100" t="s">
        <v>7</v>
      </c>
      <c r="N100">
        <v>70</v>
      </c>
    </row>
    <row r="101" spans="1:14" x14ac:dyDescent="0.3">
      <c r="A101" s="101">
        <v>43041</v>
      </c>
      <c r="B101" t="s">
        <v>13</v>
      </c>
      <c r="C101">
        <v>35</v>
      </c>
      <c r="L101" s="46">
        <v>43044</v>
      </c>
      <c r="M101" t="s">
        <v>5</v>
      </c>
      <c r="N101">
        <v>88</v>
      </c>
    </row>
    <row r="102" spans="1:14" x14ac:dyDescent="0.3">
      <c r="A102" s="101">
        <v>43044</v>
      </c>
      <c r="B102" t="s">
        <v>5</v>
      </c>
      <c r="C102">
        <v>106</v>
      </c>
      <c r="L102" s="46">
        <v>43040</v>
      </c>
      <c r="M102" t="s">
        <v>7</v>
      </c>
      <c r="N102">
        <v>129</v>
      </c>
    </row>
    <row r="103" spans="1:14" x14ac:dyDescent="0.3">
      <c r="A103" s="101">
        <v>43041</v>
      </c>
      <c r="B103" t="s">
        <v>13</v>
      </c>
      <c r="C103">
        <v>125</v>
      </c>
      <c r="L103" s="46">
        <v>43040</v>
      </c>
      <c r="M103" t="s">
        <v>7</v>
      </c>
      <c r="N103">
        <v>50</v>
      </c>
    </row>
    <row r="104" spans="1:14" x14ac:dyDescent="0.3">
      <c r="A104" s="101">
        <v>43040</v>
      </c>
      <c r="B104" t="s">
        <v>13</v>
      </c>
      <c r="C104">
        <v>182</v>
      </c>
      <c r="L104" s="46">
        <v>43041</v>
      </c>
      <c r="M104" t="s">
        <v>7</v>
      </c>
      <c r="N104">
        <v>158</v>
      </c>
    </row>
    <row r="105" spans="1:14" x14ac:dyDescent="0.3">
      <c r="A105" s="101">
        <v>43046</v>
      </c>
      <c r="B105" t="s">
        <v>7</v>
      </c>
      <c r="C105">
        <v>98</v>
      </c>
      <c r="L105" s="46">
        <v>43046</v>
      </c>
      <c r="M105" t="s">
        <v>5</v>
      </c>
      <c r="N105">
        <v>166</v>
      </c>
    </row>
    <row r="106" spans="1:14" x14ac:dyDescent="0.3">
      <c r="A106" s="101">
        <v>43042</v>
      </c>
      <c r="B106" t="s">
        <v>13</v>
      </c>
      <c r="C106">
        <v>80</v>
      </c>
      <c r="L106" s="46">
        <v>43047</v>
      </c>
      <c r="M106" t="s">
        <v>13</v>
      </c>
      <c r="N106">
        <v>151</v>
      </c>
    </row>
    <row r="107" spans="1:14" x14ac:dyDescent="0.3">
      <c r="A107" s="101">
        <v>43044</v>
      </c>
      <c r="B107" t="s">
        <v>8</v>
      </c>
      <c r="C107">
        <v>18</v>
      </c>
      <c r="L107" s="46">
        <v>43042</v>
      </c>
      <c r="M107" t="s">
        <v>13</v>
      </c>
      <c r="N107">
        <v>110</v>
      </c>
    </row>
    <row r="108" spans="1:14" x14ac:dyDescent="0.3">
      <c r="A108" s="101">
        <v>43043</v>
      </c>
      <c r="B108" t="s">
        <v>13</v>
      </c>
      <c r="C108">
        <v>80</v>
      </c>
      <c r="L108" s="46">
        <v>43040</v>
      </c>
      <c r="M108" t="s">
        <v>5</v>
      </c>
      <c r="N108">
        <v>13</v>
      </c>
    </row>
    <row r="109" spans="1:14" x14ac:dyDescent="0.3">
      <c r="A109" s="101">
        <v>43041</v>
      </c>
      <c r="B109" t="s">
        <v>5</v>
      </c>
      <c r="C109">
        <v>52</v>
      </c>
      <c r="L109" s="46">
        <v>43040</v>
      </c>
      <c r="M109" t="s">
        <v>7</v>
      </c>
      <c r="N109">
        <v>85</v>
      </c>
    </row>
    <row r="110" spans="1:14" x14ac:dyDescent="0.3">
      <c r="A110" s="101">
        <v>43042</v>
      </c>
      <c r="B110" t="s">
        <v>7</v>
      </c>
      <c r="C110">
        <v>52</v>
      </c>
      <c r="L110" s="46">
        <v>43046</v>
      </c>
      <c r="M110" t="s">
        <v>13</v>
      </c>
      <c r="N110">
        <v>74</v>
      </c>
    </row>
    <row r="111" spans="1:14" x14ac:dyDescent="0.3">
      <c r="A111" s="101">
        <v>43045</v>
      </c>
      <c r="B111" t="s">
        <v>5</v>
      </c>
      <c r="C111">
        <v>119</v>
      </c>
      <c r="L111" s="46">
        <v>43044</v>
      </c>
      <c r="M111" t="s">
        <v>7</v>
      </c>
      <c r="N111">
        <v>169</v>
      </c>
    </row>
    <row r="112" spans="1:14" x14ac:dyDescent="0.3">
      <c r="A112" s="101">
        <v>43047</v>
      </c>
      <c r="B112" t="s">
        <v>13</v>
      </c>
      <c r="C112">
        <v>129</v>
      </c>
      <c r="L112" s="46">
        <v>43044</v>
      </c>
      <c r="M112" t="s">
        <v>13</v>
      </c>
      <c r="N112">
        <v>89</v>
      </c>
    </row>
    <row r="113" spans="1:14" x14ac:dyDescent="0.3">
      <c r="A113" s="101">
        <v>43047</v>
      </c>
      <c r="B113" t="s">
        <v>13</v>
      </c>
      <c r="C113">
        <v>141</v>
      </c>
      <c r="L113" s="46">
        <v>43042</v>
      </c>
      <c r="M113" t="s">
        <v>5</v>
      </c>
      <c r="N113">
        <v>189</v>
      </c>
    </row>
    <row r="114" spans="1:14" x14ac:dyDescent="0.3">
      <c r="A114" s="101">
        <v>43047</v>
      </c>
      <c r="B114" t="s">
        <v>7</v>
      </c>
      <c r="C114">
        <v>95</v>
      </c>
      <c r="L114" s="46">
        <v>43042</v>
      </c>
      <c r="M114" t="s">
        <v>13</v>
      </c>
      <c r="N114">
        <v>138</v>
      </c>
    </row>
    <row r="115" spans="1:14" x14ac:dyDescent="0.3">
      <c r="A115" s="101">
        <v>43041</v>
      </c>
      <c r="B115" t="s">
        <v>5</v>
      </c>
      <c r="C115">
        <v>112</v>
      </c>
      <c r="L115" s="46">
        <v>43047</v>
      </c>
      <c r="M115" t="s">
        <v>8</v>
      </c>
      <c r="N115">
        <v>6</v>
      </c>
    </row>
    <row r="116" spans="1:14" x14ac:dyDescent="0.3">
      <c r="A116" s="101">
        <v>43043</v>
      </c>
      <c r="B116" t="s">
        <v>7</v>
      </c>
      <c r="C116">
        <v>40</v>
      </c>
      <c r="L116" s="46">
        <v>43042</v>
      </c>
      <c r="M116" t="s">
        <v>13</v>
      </c>
      <c r="N116">
        <v>133</v>
      </c>
    </row>
    <row r="117" spans="1:14" x14ac:dyDescent="0.3">
      <c r="A117" s="101">
        <v>43044</v>
      </c>
      <c r="B117" t="s">
        <v>7</v>
      </c>
      <c r="C117">
        <v>160</v>
      </c>
      <c r="L117" s="46">
        <v>43046</v>
      </c>
      <c r="M117" t="s">
        <v>13</v>
      </c>
      <c r="N117">
        <v>95</v>
      </c>
    </row>
    <row r="118" spans="1:14" x14ac:dyDescent="0.3">
      <c r="A118" s="101">
        <v>43043</v>
      </c>
      <c r="B118" t="s">
        <v>13</v>
      </c>
      <c r="C118">
        <v>81</v>
      </c>
      <c r="L118" s="46">
        <v>43045</v>
      </c>
      <c r="M118" t="s">
        <v>8</v>
      </c>
      <c r="N118">
        <v>133</v>
      </c>
    </row>
    <row r="119" spans="1:14" x14ac:dyDescent="0.3">
      <c r="A119" s="101">
        <v>43044</v>
      </c>
      <c r="B119" t="s">
        <v>7</v>
      </c>
      <c r="C119">
        <v>157</v>
      </c>
      <c r="L119" s="46">
        <v>43047</v>
      </c>
      <c r="M119" t="s">
        <v>7</v>
      </c>
      <c r="N119">
        <v>164</v>
      </c>
    </row>
    <row r="120" spans="1:14" x14ac:dyDescent="0.3">
      <c r="A120" s="101">
        <v>43046</v>
      </c>
      <c r="B120" t="s">
        <v>5</v>
      </c>
      <c r="C120">
        <v>12</v>
      </c>
      <c r="L120" s="46">
        <v>43046</v>
      </c>
      <c r="M120" t="s">
        <v>5</v>
      </c>
      <c r="N120">
        <v>30</v>
      </c>
    </row>
    <row r="121" spans="1:14" x14ac:dyDescent="0.3">
      <c r="A121" s="101">
        <v>43040</v>
      </c>
      <c r="B121" t="s">
        <v>13</v>
      </c>
      <c r="C121">
        <v>117</v>
      </c>
      <c r="L121" s="46">
        <v>43046</v>
      </c>
      <c r="M121" t="s">
        <v>8</v>
      </c>
      <c r="N121">
        <v>113</v>
      </c>
    </row>
    <row r="122" spans="1:14" x14ac:dyDescent="0.3">
      <c r="A122" s="101">
        <v>43043</v>
      </c>
      <c r="B122" t="s">
        <v>7</v>
      </c>
      <c r="C122">
        <v>118</v>
      </c>
      <c r="L122" s="46">
        <v>43043</v>
      </c>
      <c r="M122" t="s">
        <v>7</v>
      </c>
      <c r="N122">
        <v>3</v>
      </c>
    </row>
    <row r="123" spans="1:14" x14ac:dyDescent="0.3">
      <c r="A123" s="101">
        <v>43042</v>
      </c>
      <c r="B123" t="s">
        <v>5</v>
      </c>
      <c r="C123">
        <v>6</v>
      </c>
      <c r="L123" s="46">
        <v>43046</v>
      </c>
      <c r="M123" t="s">
        <v>13</v>
      </c>
      <c r="N123">
        <v>167</v>
      </c>
    </row>
    <row r="124" spans="1:14" x14ac:dyDescent="0.3">
      <c r="A124" s="101">
        <v>43043</v>
      </c>
      <c r="B124" t="s">
        <v>13</v>
      </c>
      <c r="C124">
        <v>107</v>
      </c>
      <c r="L124" s="46">
        <v>43046</v>
      </c>
      <c r="M124" t="s">
        <v>7</v>
      </c>
      <c r="N124">
        <v>148</v>
      </c>
    </row>
    <row r="125" spans="1:14" x14ac:dyDescent="0.3">
      <c r="A125" s="101">
        <v>43041</v>
      </c>
      <c r="B125" t="s">
        <v>8</v>
      </c>
      <c r="C125">
        <v>15</v>
      </c>
      <c r="L125" s="46">
        <v>43042</v>
      </c>
      <c r="M125" t="s">
        <v>13</v>
      </c>
      <c r="N125">
        <v>167</v>
      </c>
    </row>
    <row r="126" spans="1:14" x14ac:dyDescent="0.3">
      <c r="A126" s="101">
        <v>43041</v>
      </c>
      <c r="B126" t="s">
        <v>8</v>
      </c>
      <c r="C126">
        <v>7</v>
      </c>
      <c r="L126" s="46">
        <v>43047</v>
      </c>
      <c r="M126" t="s">
        <v>8</v>
      </c>
      <c r="N126">
        <v>25</v>
      </c>
    </row>
    <row r="127" spans="1:14" x14ac:dyDescent="0.3">
      <c r="A127" s="101">
        <v>43046</v>
      </c>
      <c r="B127" t="s">
        <v>5</v>
      </c>
      <c r="C127">
        <v>178</v>
      </c>
      <c r="L127" s="46">
        <v>43043</v>
      </c>
      <c r="M127" t="s">
        <v>5</v>
      </c>
      <c r="N127">
        <v>130</v>
      </c>
    </row>
    <row r="128" spans="1:14" x14ac:dyDescent="0.3">
      <c r="A128" s="101">
        <v>43042</v>
      </c>
      <c r="B128" t="s">
        <v>13</v>
      </c>
      <c r="C128">
        <v>159</v>
      </c>
      <c r="L128" s="46">
        <v>43043</v>
      </c>
      <c r="M128" t="s">
        <v>13</v>
      </c>
      <c r="N128">
        <v>19</v>
      </c>
    </row>
    <row r="129" spans="1:14" x14ac:dyDescent="0.3">
      <c r="A129" s="101">
        <v>43042</v>
      </c>
      <c r="B129" t="s">
        <v>8</v>
      </c>
      <c r="C129">
        <v>48</v>
      </c>
      <c r="L129" s="46">
        <v>43040</v>
      </c>
      <c r="M129" t="s">
        <v>5</v>
      </c>
      <c r="N129">
        <v>33</v>
      </c>
    </row>
    <row r="130" spans="1:14" x14ac:dyDescent="0.3">
      <c r="A130" s="101">
        <v>43043</v>
      </c>
      <c r="B130" t="s">
        <v>7</v>
      </c>
      <c r="C130">
        <v>12</v>
      </c>
      <c r="L130" s="46">
        <v>43046</v>
      </c>
      <c r="M130" t="s">
        <v>7</v>
      </c>
      <c r="N130">
        <v>86</v>
      </c>
    </row>
    <row r="131" spans="1:14" x14ac:dyDescent="0.3">
      <c r="A131" s="101">
        <v>43041</v>
      </c>
      <c r="B131" t="s">
        <v>7</v>
      </c>
      <c r="C131">
        <v>163</v>
      </c>
      <c r="L131" s="46">
        <v>43047</v>
      </c>
      <c r="M131" t="s">
        <v>13</v>
      </c>
      <c r="N131">
        <v>50</v>
      </c>
    </row>
    <row r="132" spans="1:14" x14ac:dyDescent="0.3">
      <c r="A132" s="101">
        <v>43041</v>
      </c>
      <c r="B132" t="s">
        <v>8</v>
      </c>
      <c r="C132">
        <v>133</v>
      </c>
      <c r="L132" s="46">
        <v>43044</v>
      </c>
      <c r="M132" t="s">
        <v>5</v>
      </c>
      <c r="N132">
        <v>68</v>
      </c>
    </row>
    <row r="133" spans="1:14" x14ac:dyDescent="0.3">
      <c r="A133" s="101">
        <v>43042</v>
      </c>
      <c r="B133" t="s">
        <v>13</v>
      </c>
      <c r="C133">
        <v>63</v>
      </c>
      <c r="L133" s="46">
        <v>43041</v>
      </c>
      <c r="M133" t="s">
        <v>13</v>
      </c>
      <c r="N133">
        <v>77</v>
      </c>
    </row>
    <row r="134" spans="1:14" x14ac:dyDescent="0.3">
      <c r="A134" s="101">
        <v>43040</v>
      </c>
      <c r="B134" t="s">
        <v>7</v>
      </c>
      <c r="C134">
        <v>95</v>
      </c>
      <c r="L134" s="46">
        <v>43042</v>
      </c>
      <c r="M134" t="s">
        <v>7</v>
      </c>
      <c r="N134">
        <v>20</v>
      </c>
    </row>
    <row r="135" spans="1:14" x14ac:dyDescent="0.3">
      <c r="A135" s="101">
        <v>43042</v>
      </c>
      <c r="B135" t="s">
        <v>13</v>
      </c>
      <c r="C135">
        <v>51</v>
      </c>
      <c r="L135" s="46">
        <v>43040</v>
      </c>
      <c r="M135" t="s">
        <v>13</v>
      </c>
      <c r="N135">
        <v>132</v>
      </c>
    </row>
    <row r="136" spans="1:14" x14ac:dyDescent="0.3">
      <c r="A136" s="101">
        <v>43045</v>
      </c>
      <c r="B136" t="s">
        <v>7</v>
      </c>
      <c r="C136">
        <v>75</v>
      </c>
      <c r="L136" s="46">
        <v>43047</v>
      </c>
      <c r="M136" t="s">
        <v>5</v>
      </c>
      <c r="N136">
        <v>4</v>
      </c>
    </row>
    <row r="137" spans="1:14" x14ac:dyDescent="0.3">
      <c r="A137" s="101">
        <v>43043</v>
      </c>
      <c r="B137" t="s">
        <v>13</v>
      </c>
      <c r="C137">
        <v>174</v>
      </c>
      <c r="L137" s="46">
        <v>43045</v>
      </c>
      <c r="M137" t="s">
        <v>5</v>
      </c>
      <c r="N137">
        <v>153</v>
      </c>
    </row>
    <row r="138" spans="1:14" x14ac:dyDescent="0.3">
      <c r="A138" s="101">
        <v>43040</v>
      </c>
      <c r="B138" t="s">
        <v>13</v>
      </c>
      <c r="C138">
        <v>150</v>
      </c>
      <c r="L138" s="46">
        <v>43047</v>
      </c>
      <c r="M138" t="s">
        <v>7</v>
      </c>
      <c r="N138">
        <v>29</v>
      </c>
    </row>
    <row r="139" spans="1:14" x14ac:dyDescent="0.3">
      <c r="A139" s="101">
        <v>43043</v>
      </c>
      <c r="B139" t="s">
        <v>13</v>
      </c>
      <c r="C139">
        <v>4</v>
      </c>
      <c r="L139" s="46">
        <v>43042</v>
      </c>
      <c r="M139" t="s">
        <v>13</v>
      </c>
      <c r="N139">
        <v>98</v>
      </c>
    </row>
    <row r="140" spans="1:14" x14ac:dyDescent="0.3">
      <c r="A140" s="101">
        <v>43040</v>
      </c>
      <c r="B140" t="s">
        <v>7</v>
      </c>
      <c r="C140">
        <v>87</v>
      </c>
      <c r="L140" s="46">
        <v>43046</v>
      </c>
      <c r="M140" t="s">
        <v>8</v>
      </c>
      <c r="N140">
        <v>89</v>
      </c>
    </row>
    <row r="141" spans="1:14" x14ac:dyDescent="0.3">
      <c r="A141" s="101">
        <v>43040</v>
      </c>
      <c r="B141" t="s">
        <v>13</v>
      </c>
      <c r="C141">
        <v>105</v>
      </c>
      <c r="L141" s="46">
        <v>43042</v>
      </c>
      <c r="M141" t="s">
        <v>8</v>
      </c>
      <c r="N141">
        <v>129</v>
      </c>
    </row>
    <row r="142" spans="1:14" x14ac:dyDescent="0.3">
      <c r="A142" s="101">
        <v>43045</v>
      </c>
      <c r="B142" t="s">
        <v>13</v>
      </c>
      <c r="C142">
        <v>129</v>
      </c>
      <c r="L142" s="46">
        <v>43046</v>
      </c>
      <c r="M142" t="s">
        <v>8</v>
      </c>
      <c r="N142">
        <v>165</v>
      </c>
    </row>
    <row r="143" spans="1:14" x14ac:dyDescent="0.3">
      <c r="A143" s="101">
        <v>43047</v>
      </c>
      <c r="B143" t="s">
        <v>13</v>
      </c>
      <c r="C143">
        <v>9</v>
      </c>
      <c r="L143" s="46">
        <v>43043</v>
      </c>
      <c r="M143" t="s">
        <v>13</v>
      </c>
      <c r="N143">
        <v>169</v>
      </c>
    </row>
    <row r="144" spans="1:14" x14ac:dyDescent="0.3">
      <c r="A144" s="101">
        <v>43044</v>
      </c>
      <c r="B144" t="s">
        <v>13</v>
      </c>
      <c r="C144">
        <v>90</v>
      </c>
      <c r="L144" s="46">
        <v>43040</v>
      </c>
      <c r="M144" t="s">
        <v>5</v>
      </c>
      <c r="N144">
        <v>191</v>
      </c>
    </row>
    <row r="145" spans="1:14" x14ac:dyDescent="0.3">
      <c r="A145" s="101">
        <v>43041</v>
      </c>
      <c r="B145" t="s">
        <v>8</v>
      </c>
      <c r="C145">
        <v>14</v>
      </c>
      <c r="L145" s="46">
        <v>43047</v>
      </c>
      <c r="M145" t="s">
        <v>8</v>
      </c>
      <c r="N145">
        <v>120</v>
      </c>
    </row>
    <row r="146" spans="1:14" x14ac:dyDescent="0.3">
      <c r="A146" s="101">
        <v>43041</v>
      </c>
      <c r="B146" t="s">
        <v>8</v>
      </c>
      <c r="C146">
        <v>134</v>
      </c>
      <c r="L146" s="46">
        <v>43046</v>
      </c>
      <c r="M146" t="s">
        <v>13</v>
      </c>
      <c r="N146">
        <v>188</v>
      </c>
    </row>
    <row r="147" spans="1:14" x14ac:dyDescent="0.3">
      <c r="A147" s="101">
        <v>43047</v>
      </c>
      <c r="B147" t="s">
        <v>5</v>
      </c>
      <c r="C147">
        <v>102</v>
      </c>
      <c r="L147" s="46">
        <v>43045</v>
      </c>
      <c r="M147" t="s">
        <v>5</v>
      </c>
      <c r="N147">
        <v>101</v>
      </c>
    </row>
    <row r="148" spans="1:14" x14ac:dyDescent="0.3">
      <c r="A148" s="101">
        <v>43042</v>
      </c>
      <c r="B148" t="s">
        <v>7</v>
      </c>
      <c r="C148">
        <v>46</v>
      </c>
      <c r="L148" s="46">
        <v>43044</v>
      </c>
      <c r="M148" t="s">
        <v>7</v>
      </c>
      <c r="N148">
        <v>73</v>
      </c>
    </row>
    <row r="149" spans="1:14" x14ac:dyDescent="0.3">
      <c r="A149" s="101">
        <v>43046</v>
      </c>
      <c r="B149" t="s">
        <v>7</v>
      </c>
      <c r="C149">
        <v>182</v>
      </c>
      <c r="L149" s="46">
        <v>43046</v>
      </c>
      <c r="M149" t="s">
        <v>5</v>
      </c>
      <c r="N149">
        <v>139</v>
      </c>
    </row>
    <row r="150" spans="1:14" x14ac:dyDescent="0.3">
      <c r="A150" s="101">
        <v>43041</v>
      </c>
      <c r="B150" t="s">
        <v>7</v>
      </c>
      <c r="C150">
        <v>190</v>
      </c>
      <c r="L150" s="46">
        <v>43042</v>
      </c>
      <c r="M150" t="s">
        <v>5</v>
      </c>
      <c r="N150">
        <v>168</v>
      </c>
    </row>
    <row r="151" spans="1:14" x14ac:dyDescent="0.3">
      <c r="A151" s="101">
        <v>43045</v>
      </c>
      <c r="B151" t="s">
        <v>5</v>
      </c>
      <c r="C151">
        <v>13</v>
      </c>
      <c r="L151" s="46">
        <v>43046</v>
      </c>
      <c r="M151" t="s">
        <v>13</v>
      </c>
      <c r="N151">
        <v>150</v>
      </c>
    </row>
    <row r="152" spans="1:14" x14ac:dyDescent="0.3">
      <c r="A152" s="101">
        <v>43045</v>
      </c>
      <c r="B152" t="s">
        <v>8</v>
      </c>
      <c r="C152">
        <v>132</v>
      </c>
      <c r="L152" s="46">
        <v>43046</v>
      </c>
      <c r="M152" t="s">
        <v>7</v>
      </c>
      <c r="N152">
        <v>24</v>
      </c>
    </row>
    <row r="153" spans="1:14" x14ac:dyDescent="0.3">
      <c r="A153" s="101">
        <v>43047</v>
      </c>
      <c r="B153" t="s">
        <v>8</v>
      </c>
      <c r="C153">
        <v>52</v>
      </c>
      <c r="L153" s="46">
        <v>43045</v>
      </c>
      <c r="M153" t="s">
        <v>5</v>
      </c>
      <c r="N153">
        <v>94</v>
      </c>
    </row>
    <row r="154" spans="1:14" x14ac:dyDescent="0.3">
      <c r="A154" s="101">
        <v>43040</v>
      </c>
      <c r="B154" t="s">
        <v>13</v>
      </c>
      <c r="C154">
        <v>105</v>
      </c>
      <c r="L154" s="46">
        <v>43040</v>
      </c>
      <c r="M154" t="s">
        <v>8</v>
      </c>
      <c r="N154">
        <v>171</v>
      </c>
    </row>
    <row r="155" spans="1:14" x14ac:dyDescent="0.3">
      <c r="A155" s="101">
        <v>43041</v>
      </c>
      <c r="B155" t="s">
        <v>5</v>
      </c>
      <c r="C155">
        <v>142</v>
      </c>
      <c r="L155" s="46">
        <v>43044</v>
      </c>
      <c r="M155" t="s">
        <v>13</v>
      </c>
      <c r="N155">
        <v>119</v>
      </c>
    </row>
    <row r="156" spans="1:14" x14ac:dyDescent="0.3">
      <c r="A156" s="101">
        <v>43047</v>
      </c>
      <c r="B156" t="s">
        <v>5</v>
      </c>
      <c r="C156">
        <v>132</v>
      </c>
      <c r="L156" s="46">
        <v>43047</v>
      </c>
      <c r="M156" t="s">
        <v>5</v>
      </c>
      <c r="N156">
        <v>157</v>
      </c>
    </row>
    <row r="157" spans="1:14" x14ac:dyDescent="0.3">
      <c r="A157" s="101">
        <v>43043</v>
      </c>
      <c r="B157" t="s">
        <v>13</v>
      </c>
      <c r="C157">
        <v>116</v>
      </c>
      <c r="L157" s="46">
        <v>43045</v>
      </c>
      <c r="M157" t="s">
        <v>13</v>
      </c>
      <c r="N157">
        <v>46</v>
      </c>
    </row>
    <row r="158" spans="1:14" x14ac:dyDescent="0.3">
      <c r="A158" s="101">
        <v>43047</v>
      </c>
      <c r="B158" t="s">
        <v>13</v>
      </c>
      <c r="C158">
        <v>89</v>
      </c>
      <c r="L158" s="46">
        <v>43047</v>
      </c>
      <c r="M158" t="s">
        <v>13</v>
      </c>
      <c r="N158">
        <v>191</v>
      </c>
    </row>
    <row r="159" spans="1:14" x14ac:dyDescent="0.3">
      <c r="A159" s="101">
        <v>43042</v>
      </c>
      <c r="B159" t="s">
        <v>7</v>
      </c>
      <c r="C159">
        <v>156</v>
      </c>
      <c r="L159" s="46">
        <v>43040</v>
      </c>
      <c r="M159" t="s">
        <v>5</v>
      </c>
      <c r="N159">
        <v>83</v>
      </c>
    </row>
    <row r="160" spans="1:14" x14ac:dyDescent="0.3">
      <c r="A160" s="101">
        <v>43045</v>
      </c>
      <c r="B160" t="s">
        <v>7</v>
      </c>
      <c r="C160">
        <v>136</v>
      </c>
      <c r="L160" s="46">
        <v>43042</v>
      </c>
      <c r="M160" t="s">
        <v>13</v>
      </c>
      <c r="N160">
        <v>106</v>
      </c>
    </row>
    <row r="161" spans="1:14" x14ac:dyDescent="0.3">
      <c r="A161" s="101">
        <v>43043</v>
      </c>
      <c r="B161" t="s">
        <v>8</v>
      </c>
      <c r="C161">
        <v>77</v>
      </c>
      <c r="L161" s="46">
        <v>43046</v>
      </c>
      <c r="M161" t="s">
        <v>5</v>
      </c>
      <c r="N161">
        <v>53</v>
      </c>
    </row>
    <row r="162" spans="1:14" x14ac:dyDescent="0.3">
      <c r="A162" s="101">
        <v>43044</v>
      </c>
      <c r="B162" t="s">
        <v>5</v>
      </c>
      <c r="C162">
        <v>97</v>
      </c>
      <c r="L162" s="46">
        <v>43046</v>
      </c>
      <c r="M162" t="s">
        <v>8</v>
      </c>
      <c r="N162">
        <v>178</v>
      </c>
    </row>
    <row r="163" spans="1:14" x14ac:dyDescent="0.3">
      <c r="A163" s="101">
        <v>43047</v>
      </c>
      <c r="B163" t="s">
        <v>8</v>
      </c>
      <c r="C163">
        <v>121</v>
      </c>
      <c r="L163" s="46">
        <v>43044</v>
      </c>
      <c r="M163" t="s">
        <v>13</v>
      </c>
      <c r="N163">
        <v>134</v>
      </c>
    </row>
    <row r="164" spans="1:14" x14ac:dyDescent="0.3">
      <c r="A164" s="101">
        <v>43041</v>
      </c>
      <c r="B164" t="s">
        <v>7</v>
      </c>
      <c r="C164">
        <v>3</v>
      </c>
      <c r="L164" s="46">
        <v>43045</v>
      </c>
      <c r="M164" t="s">
        <v>8</v>
      </c>
      <c r="N164">
        <v>74</v>
      </c>
    </row>
    <row r="165" spans="1:14" x14ac:dyDescent="0.3">
      <c r="A165" s="101">
        <v>43043</v>
      </c>
      <c r="B165" t="s">
        <v>5</v>
      </c>
      <c r="C165">
        <v>56</v>
      </c>
      <c r="L165" s="46">
        <v>43040</v>
      </c>
      <c r="M165" t="s">
        <v>8</v>
      </c>
      <c r="N165">
        <v>38</v>
      </c>
    </row>
    <row r="166" spans="1:14" x14ac:dyDescent="0.3">
      <c r="A166" s="101">
        <v>43043</v>
      </c>
      <c r="B166" t="s">
        <v>7</v>
      </c>
      <c r="C166">
        <v>177</v>
      </c>
      <c r="L166" s="46">
        <v>43043</v>
      </c>
      <c r="M166" t="s">
        <v>5</v>
      </c>
      <c r="N166">
        <v>185</v>
      </c>
    </row>
    <row r="167" spans="1:14" x14ac:dyDescent="0.3">
      <c r="A167" s="101">
        <v>43043</v>
      </c>
      <c r="B167" t="s">
        <v>7</v>
      </c>
      <c r="C167">
        <v>140</v>
      </c>
      <c r="L167" s="46">
        <v>43042</v>
      </c>
      <c r="M167" t="s">
        <v>13</v>
      </c>
      <c r="N167">
        <v>145</v>
      </c>
    </row>
    <row r="168" spans="1:14" x14ac:dyDescent="0.3">
      <c r="A168" s="101">
        <v>43047</v>
      </c>
      <c r="B168" t="s">
        <v>8</v>
      </c>
      <c r="C168">
        <v>173</v>
      </c>
      <c r="L168" s="46">
        <v>43046</v>
      </c>
      <c r="M168" t="s">
        <v>8</v>
      </c>
      <c r="N168">
        <v>119</v>
      </c>
    </row>
    <row r="169" spans="1:14" x14ac:dyDescent="0.3">
      <c r="A169" s="101">
        <v>43045</v>
      </c>
      <c r="B169" t="s">
        <v>8</v>
      </c>
      <c r="C169">
        <v>27</v>
      </c>
      <c r="L169" s="46">
        <v>43045</v>
      </c>
      <c r="M169" t="s">
        <v>8</v>
      </c>
      <c r="N169">
        <v>178</v>
      </c>
    </row>
    <row r="170" spans="1:14" x14ac:dyDescent="0.3">
      <c r="A170" s="101">
        <v>43043</v>
      </c>
      <c r="B170" t="s">
        <v>7</v>
      </c>
      <c r="C170">
        <v>87</v>
      </c>
      <c r="L170" s="46">
        <v>43041</v>
      </c>
      <c r="M170" t="s">
        <v>13</v>
      </c>
      <c r="N170">
        <v>171</v>
      </c>
    </row>
    <row r="171" spans="1:14" x14ac:dyDescent="0.3">
      <c r="A171" s="101">
        <v>43043</v>
      </c>
      <c r="B171" t="s">
        <v>8</v>
      </c>
      <c r="C171">
        <v>20</v>
      </c>
      <c r="L171" s="46">
        <v>43040</v>
      </c>
      <c r="M171" t="s">
        <v>13</v>
      </c>
      <c r="N171">
        <v>33</v>
      </c>
    </row>
    <row r="172" spans="1:14" x14ac:dyDescent="0.3">
      <c r="A172" s="101">
        <v>43043</v>
      </c>
      <c r="B172" t="s">
        <v>7</v>
      </c>
      <c r="C172">
        <v>191</v>
      </c>
      <c r="L172" s="46">
        <v>43044</v>
      </c>
      <c r="M172" t="s">
        <v>7</v>
      </c>
      <c r="N172">
        <v>32</v>
      </c>
    </row>
    <row r="173" spans="1:14" x14ac:dyDescent="0.3">
      <c r="A173" s="101">
        <v>43040</v>
      </c>
      <c r="B173" t="s">
        <v>7</v>
      </c>
      <c r="C173">
        <v>70</v>
      </c>
      <c r="L173" s="46">
        <v>43045</v>
      </c>
      <c r="M173" t="s">
        <v>5</v>
      </c>
      <c r="N173">
        <v>24</v>
      </c>
    </row>
    <row r="174" spans="1:14" x14ac:dyDescent="0.3">
      <c r="A174" s="101">
        <v>43043</v>
      </c>
      <c r="B174" t="s">
        <v>13</v>
      </c>
      <c r="C174">
        <v>186</v>
      </c>
      <c r="L174" s="46">
        <v>43043</v>
      </c>
      <c r="M174" t="s">
        <v>5</v>
      </c>
      <c r="N174">
        <v>166</v>
      </c>
    </row>
    <row r="175" spans="1:14" x14ac:dyDescent="0.3">
      <c r="A175" s="101">
        <v>43043</v>
      </c>
      <c r="B175" t="s">
        <v>8</v>
      </c>
      <c r="C175">
        <v>126</v>
      </c>
      <c r="L175" s="46">
        <v>43043</v>
      </c>
      <c r="M175" t="s">
        <v>7</v>
      </c>
      <c r="N175">
        <v>107</v>
      </c>
    </row>
    <row r="176" spans="1:14" x14ac:dyDescent="0.3">
      <c r="A176" s="101">
        <v>43040</v>
      </c>
      <c r="B176" t="s">
        <v>13</v>
      </c>
      <c r="C176">
        <v>3</v>
      </c>
      <c r="L176" s="46">
        <v>43040</v>
      </c>
      <c r="M176" t="s">
        <v>7</v>
      </c>
      <c r="N176">
        <v>179</v>
      </c>
    </row>
    <row r="177" spans="1:14" x14ac:dyDescent="0.3">
      <c r="A177" s="101">
        <v>43043</v>
      </c>
      <c r="B177" t="s">
        <v>8</v>
      </c>
      <c r="C177">
        <v>92</v>
      </c>
      <c r="L177" s="46">
        <v>43043</v>
      </c>
      <c r="M177" t="s">
        <v>7</v>
      </c>
      <c r="N177">
        <v>164</v>
      </c>
    </row>
    <row r="178" spans="1:14" x14ac:dyDescent="0.3">
      <c r="A178" s="101">
        <v>43043</v>
      </c>
      <c r="B178" t="s">
        <v>5</v>
      </c>
      <c r="C178">
        <v>3</v>
      </c>
      <c r="L178" s="46">
        <v>43045</v>
      </c>
      <c r="M178" t="s">
        <v>8</v>
      </c>
      <c r="N178">
        <v>175</v>
      </c>
    </row>
    <row r="179" spans="1:14" x14ac:dyDescent="0.3">
      <c r="A179" s="101">
        <v>43044</v>
      </c>
      <c r="B179" t="s">
        <v>7</v>
      </c>
      <c r="C179">
        <v>82</v>
      </c>
      <c r="L179" s="46">
        <v>43043</v>
      </c>
      <c r="M179" t="s">
        <v>5</v>
      </c>
      <c r="N179">
        <v>55</v>
      </c>
    </row>
    <row r="180" spans="1:14" x14ac:dyDescent="0.3">
      <c r="A180" s="101">
        <v>43040</v>
      </c>
      <c r="B180" t="s">
        <v>7</v>
      </c>
      <c r="C180">
        <v>99</v>
      </c>
      <c r="L180" s="46">
        <v>43046</v>
      </c>
      <c r="M180" t="s">
        <v>8</v>
      </c>
      <c r="N180">
        <v>165</v>
      </c>
    </row>
    <row r="181" spans="1:14" x14ac:dyDescent="0.3">
      <c r="A181" s="101">
        <v>43045</v>
      </c>
      <c r="B181" t="s">
        <v>8</v>
      </c>
      <c r="C181">
        <v>131</v>
      </c>
      <c r="L181" s="46">
        <v>43047</v>
      </c>
      <c r="M181" t="s">
        <v>5</v>
      </c>
      <c r="N181">
        <v>142</v>
      </c>
    </row>
    <row r="182" spans="1:14" x14ac:dyDescent="0.3">
      <c r="A182" s="101">
        <v>43040</v>
      </c>
      <c r="B182" t="s">
        <v>5</v>
      </c>
      <c r="C182">
        <v>175</v>
      </c>
      <c r="L182" s="46">
        <v>43041</v>
      </c>
      <c r="M182" t="s">
        <v>8</v>
      </c>
      <c r="N182">
        <v>67</v>
      </c>
    </row>
    <row r="183" spans="1:14" x14ac:dyDescent="0.3">
      <c r="A183" s="101">
        <v>43043</v>
      </c>
      <c r="B183" t="s">
        <v>7</v>
      </c>
      <c r="C183">
        <v>41</v>
      </c>
      <c r="L183" s="46">
        <v>43046</v>
      </c>
      <c r="M183" t="s">
        <v>8</v>
      </c>
      <c r="N183">
        <v>73</v>
      </c>
    </row>
    <row r="184" spans="1:14" x14ac:dyDescent="0.3">
      <c r="A184" s="101">
        <v>43043</v>
      </c>
      <c r="B184" t="s">
        <v>13</v>
      </c>
      <c r="C184">
        <v>14</v>
      </c>
      <c r="L184" s="46">
        <v>43044</v>
      </c>
      <c r="M184" t="s">
        <v>13</v>
      </c>
      <c r="N184">
        <v>21</v>
      </c>
    </row>
    <row r="185" spans="1:14" x14ac:dyDescent="0.3">
      <c r="A185" s="101">
        <v>43045</v>
      </c>
      <c r="B185" t="s">
        <v>5</v>
      </c>
      <c r="C185">
        <v>122</v>
      </c>
      <c r="L185" s="46">
        <v>43047</v>
      </c>
      <c r="M185" t="s">
        <v>8</v>
      </c>
      <c r="N185">
        <v>40</v>
      </c>
    </row>
    <row r="186" spans="1:14" x14ac:dyDescent="0.3">
      <c r="A186" s="101">
        <v>43041</v>
      </c>
      <c r="B186" t="s">
        <v>5</v>
      </c>
      <c r="C186">
        <v>48</v>
      </c>
      <c r="L186" s="46">
        <v>43042</v>
      </c>
      <c r="M186" t="s">
        <v>13</v>
      </c>
      <c r="N186">
        <v>175</v>
      </c>
    </row>
    <row r="187" spans="1:14" x14ac:dyDescent="0.3">
      <c r="A187" s="101">
        <v>43042</v>
      </c>
      <c r="B187" t="s">
        <v>8</v>
      </c>
      <c r="C187">
        <v>57</v>
      </c>
      <c r="L187" s="46">
        <v>43040</v>
      </c>
      <c r="M187" t="s">
        <v>5</v>
      </c>
      <c r="N187">
        <v>187</v>
      </c>
    </row>
    <row r="188" spans="1:14" x14ac:dyDescent="0.3">
      <c r="A188" s="101">
        <v>43047</v>
      </c>
      <c r="B188" t="s">
        <v>7</v>
      </c>
      <c r="C188">
        <v>113</v>
      </c>
      <c r="L188" s="46">
        <v>43045</v>
      </c>
      <c r="M188" t="s">
        <v>13</v>
      </c>
      <c r="N188">
        <v>167</v>
      </c>
    </row>
    <row r="189" spans="1:14" x14ac:dyDescent="0.3">
      <c r="A189" s="101">
        <v>43047</v>
      </c>
      <c r="B189" t="s">
        <v>8</v>
      </c>
      <c r="C189">
        <v>186</v>
      </c>
      <c r="L189" s="46">
        <v>43046</v>
      </c>
      <c r="M189" t="s">
        <v>5</v>
      </c>
      <c r="N189">
        <v>70</v>
      </c>
    </row>
    <row r="190" spans="1:14" x14ac:dyDescent="0.3">
      <c r="A190" s="101">
        <v>43043</v>
      </c>
      <c r="B190" t="s">
        <v>8</v>
      </c>
      <c r="C190">
        <v>102</v>
      </c>
      <c r="L190" s="46">
        <v>43043</v>
      </c>
      <c r="M190" t="s">
        <v>5</v>
      </c>
      <c r="N190">
        <v>72</v>
      </c>
    </row>
    <row r="191" spans="1:14" x14ac:dyDescent="0.3">
      <c r="A191" s="101">
        <v>43040</v>
      </c>
      <c r="B191" t="s">
        <v>5</v>
      </c>
      <c r="C191">
        <v>77</v>
      </c>
      <c r="L191" s="46">
        <v>43047</v>
      </c>
      <c r="M191" t="s">
        <v>8</v>
      </c>
      <c r="N191">
        <v>103</v>
      </c>
    </row>
    <row r="192" spans="1:14" x14ac:dyDescent="0.3">
      <c r="A192" s="101">
        <v>43043</v>
      </c>
      <c r="B192" t="s">
        <v>5</v>
      </c>
      <c r="C192">
        <v>4</v>
      </c>
      <c r="L192" s="46">
        <v>43044</v>
      </c>
      <c r="M192" t="s">
        <v>5</v>
      </c>
      <c r="N192">
        <v>88</v>
      </c>
    </row>
    <row r="193" spans="1:14" x14ac:dyDescent="0.3">
      <c r="A193" s="101">
        <v>43045</v>
      </c>
      <c r="B193" t="s">
        <v>13</v>
      </c>
      <c r="C193">
        <v>127</v>
      </c>
      <c r="L193" s="46">
        <v>43043</v>
      </c>
      <c r="M193" t="s">
        <v>5</v>
      </c>
      <c r="N193">
        <v>134</v>
      </c>
    </row>
    <row r="194" spans="1:14" x14ac:dyDescent="0.3">
      <c r="A194" s="101">
        <v>43047</v>
      </c>
      <c r="B194" t="s">
        <v>5</v>
      </c>
      <c r="C194">
        <v>172</v>
      </c>
      <c r="L194" s="46">
        <v>43045</v>
      </c>
      <c r="M194" t="s">
        <v>8</v>
      </c>
      <c r="N194">
        <v>40</v>
      </c>
    </row>
    <row r="195" spans="1:14" x14ac:dyDescent="0.3">
      <c r="A195" s="101">
        <v>43040</v>
      </c>
      <c r="B195" t="s">
        <v>8</v>
      </c>
      <c r="C195">
        <v>86</v>
      </c>
      <c r="L195" s="46">
        <v>43041</v>
      </c>
      <c r="M195" t="s">
        <v>13</v>
      </c>
      <c r="N195">
        <v>19</v>
      </c>
    </row>
    <row r="196" spans="1:14" x14ac:dyDescent="0.3">
      <c r="A196" s="101">
        <v>43044</v>
      </c>
      <c r="B196" t="s">
        <v>13</v>
      </c>
      <c r="C196">
        <v>177</v>
      </c>
      <c r="L196" s="46">
        <v>43043</v>
      </c>
      <c r="M196" t="s">
        <v>8</v>
      </c>
      <c r="N196">
        <v>6</v>
      </c>
    </row>
    <row r="197" spans="1:14" x14ac:dyDescent="0.3">
      <c r="A197" s="101">
        <v>43041</v>
      </c>
      <c r="B197" t="s">
        <v>8</v>
      </c>
      <c r="C197">
        <v>103</v>
      </c>
      <c r="L197" s="46">
        <v>43044</v>
      </c>
      <c r="M197" t="s">
        <v>8</v>
      </c>
      <c r="N197">
        <v>93</v>
      </c>
    </row>
    <row r="198" spans="1:14" x14ac:dyDescent="0.3">
      <c r="A198" s="101">
        <v>43043</v>
      </c>
      <c r="B198" t="s">
        <v>13</v>
      </c>
      <c r="C198">
        <v>84</v>
      </c>
      <c r="L198" s="46">
        <v>43045</v>
      </c>
      <c r="M198" t="s">
        <v>8</v>
      </c>
      <c r="N198">
        <v>147</v>
      </c>
    </row>
    <row r="199" spans="1:14" x14ac:dyDescent="0.3">
      <c r="A199" s="101">
        <v>43044</v>
      </c>
      <c r="B199" t="s">
        <v>8</v>
      </c>
      <c r="C199">
        <v>118</v>
      </c>
      <c r="L199" s="46">
        <v>43046</v>
      </c>
      <c r="M199" t="s">
        <v>13</v>
      </c>
      <c r="N199">
        <v>37</v>
      </c>
    </row>
    <row r="200" spans="1:14" x14ac:dyDescent="0.3">
      <c r="A200" s="101">
        <v>43046</v>
      </c>
      <c r="B200" t="s">
        <v>5</v>
      </c>
      <c r="C200">
        <v>66</v>
      </c>
      <c r="L200" s="46">
        <v>43045</v>
      </c>
      <c r="M200" t="s">
        <v>13</v>
      </c>
      <c r="N200">
        <v>8</v>
      </c>
    </row>
    <row r="201" spans="1:14" x14ac:dyDescent="0.3">
      <c r="A201" s="101">
        <v>43042</v>
      </c>
      <c r="B201" t="s">
        <v>8</v>
      </c>
      <c r="C201">
        <v>168</v>
      </c>
      <c r="L201" s="46">
        <v>43044</v>
      </c>
      <c r="M201" t="s">
        <v>7</v>
      </c>
      <c r="N201">
        <v>137</v>
      </c>
    </row>
    <row r="202" spans="1:14" x14ac:dyDescent="0.3">
      <c r="A202" s="101">
        <v>43043</v>
      </c>
      <c r="B202" t="s">
        <v>13</v>
      </c>
      <c r="C202">
        <v>155</v>
      </c>
      <c r="L202" s="46">
        <v>43041</v>
      </c>
      <c r="M202" t="s">
        <v>13</v>
      </c>
      <c r="N202">
        <v>100</v>
      </c>
    </row>
    <row r="203" spans="1:14" x14ac:dyDescent="0.3">
      <c r="A203" s="101">
        <v>43045</v>
      </c>
      <c r="B203" t="s">
        <v>13</v>
      </c>
      <c r="C203">
        <v>145</v>
      </c>
      <c r="L203" s="46">
        <v>43045</v>
      </c>
      <c r="M203" t="s">
        <v>5</v>
      </c>
      <c r="N203">
        <v>143</v>
      </c>
    </row>
    <row r="204" spans="1:14" x14ac:dyDescent="0.3">
      <c r="A204" s="101">
        <v>43040</v>
      </c>
      <c r="B204" t="s">
        <v>13</v>
      </c>
      <c r="C204">
        <v>98</v>
      </c>
      <c r="L204" s="46">
        <v>43046</v>
      </c>
      <c r="M204" t="s">
        <v>13</v>
      </c>
      <c r="N204">
        <v>99</v>
      </c>
    </row>
    <row r="205" spans="1:14" x14ac:dyDescent="0.3">
      <c r="A205" s="101">
        <v>43045</v>
      </c>
      <c r="B205" t="s">
        <v>13</v>
      </c>
      <c r="C205">
        <v>46</v>
      </c>
      <c r="L205" s="46">
        <v>43046</v>
      </c>
      <c r="M205" t="s">
        <v>7</v>
      </c>
      <c r="N205">
        <v>171</v>
      </c>
    </row>
    <row r="206" spans="1:14" x14ac:dyDescent="0.3">
      <c r="A206" s="101">
        <v>43040</v>
      </c>
      <c r="B206" t="s">
        <v>7</v>
      </c>
      <c r="C206">
        <v>42</v>
      </c>
      <c r="L206" s="46">
        <v>43047</v>
      </c>
      <c r="M206" t="s">
        <v>13</v>
      </c>
      <c r="N206">
        <v>30</v>
      </c>
    </row>
    <row r="207" spans="1:14" x14ac:dyDescent="0.3">
      <c r="A207" s="101">
        <v>43047</v>
      </c>
      <c r="B207" t="s">
        <v>13</v>
      </c>
      <c r="C207">
        <v>156</v>
      </c>
      <c r="L207" s="46">
        <v>43046</v>
      </c>
      <c r="M207" t="s">
        <v>13</v>
      </c>
      <c r="N207">
        <v>145</v>
      </c>
    </row>
    <row r="208" spans="1:14" x14ac:dyDescent="0.3">
      <c r="A208" s="101">
        <v>43040</v>
      </c>
      <c r="B208" t="s">
        <v>8</v>
      </c>
      <c r="C208">
        <v>20</v>
      </c>
      <c r="L208" s="46">
        <v>43041</v>
      </c>
      <c r="M208" t="s">
        <v>8</v>
      </c>
      <c r="N208">
        <v>125</v>
      </c>
    </row>
    <row r="209" spans="1:14" x14ac:dyDescent="0.3">
      <c r="A209" s="101">
        <v>43045</v>
      </c>
      <c r="B209" t="s">
        <v>13</v>
      </c>
      <c r="C209">
        <v>75</v>
      </c>
      <c r="L209" s="46">
        <v>43042</v>
      </c>
      <c r="M209" t="s">
        <v>13</v>
      </c>
      <c r="N209">
        <v>25</v>
      </c>
    </row>
    <row r="210" spans="1:14" x14ac:dyDescent="0.3">
      <c r="A210" s="101">
        <v>43042</v>
      </c>
      <c r="B210" t="s">
        <v>13</v>
      </c>
      <c r="C210">
        <v>108</v>
      </c>
      <c r="L210" s="46">
        <v>43045</v>
      </c>
      <c r="M210" t="s">
        <v>5</v>
      </c>
      <c r="N210">
        <v>126</v>
      </c>
    </row>
    <row r="211" spans="1:14" x14ac:dyDescent="0.3">
      <c r="A211" s="101">
        <v>43043</v>
      </c>
      <c r="B211" t="s">
        <v>5</v>
      </c>
      <c r="C211">
        <v>129</v>
      </c>
      <c r="L211" s="46">
        <v>43045</v>
      </c>
      <c r="M211" t="s">
        <v>13</v>
      </c>
      <c r="N211">
        <v>18</v>
      </c>
    </row>
    <row r="212" spans="1:14" x14ac:dyDescent="0.3">
      <c r="A212" s="101">
        <v>43044</v>
      </c>
      <c r="B212" t="s">
        <v>7</v>
      </c>
      <c r="C212">
        <v>113</v>
      </c>
      <c r="L212" s="46">
        <v>43044</v>
      </c>
      <c r="M212" t="s">
        <v>5</v>
      </c>
      <c r="N212">
        <v>161</v>
      </c>
    </row>
    <row r="213" spans="1:14" x14ac:dyDescent="0.3">
      <c r="A213" s="101">
        <v>43040</v>
      </c>
      <c r="B213" t="s">
        <v>5</v>
      </c>
      <c r="C213">
        <v>118</v>
      </c>
      <c r="L213" s="46">
        <v>43043</v>
      </c>
      <c r="M213" t="s">
        <v>13</v>
      </c>
      <c r="N213">
        <v>166</v>
      </c>
    </row>
    <row r="214" spans="1:14" x14ac:dyDescent="0.3">
      <c r="A214" s="101">
        <v>43041</v>
      </c>
      <c r="B214" t="s">
        <v>7</v>
      </c>
      <c r="C214">
        <v>46</v>
      </c>
      <c r="L214" s="46">
        <v>43042</v>
      </c>
      <c r="M214" t="s">
        <v>5</v>
      </c>
      <c r="N214">
        <v>29</v>
      </c>
    </row>
    <row r="215" spans="1:14" x14ac:dyDescent="0.3">
      <c r="A215" s="101">
        <v>43043</v>
      </c>
      <c r="B215" t="s">
        <v>13</v>
      </c>
      <c r="C215">
        <v>72</v>
      </c>
      <c r="L215" s="46">
        <v>43041</v>
      </c>
      <c r="M215" t="s">
        <v>7</v>
      </c>
      <c r="N215">
        <v>63</v>
      </c>
    </row>
    <row r="216" spans="1:14" x14ac:dyDescent="0.3">
      <c r="A216" s="101">
        <v>43046</v>
      </c>
      <c r="B216" t="s">
        <v>13</v>
      </c>
      <c r="C216">
        <v>96</v>
      </c>
      <c r="L216" s="46">
        <v>43043</v>
      </c>
      <c r="M216" t="s">
        <v>7</v>
      </c>
      <c r="N216">
        <v>11</v>
      </c>
    </row>
    <row r="217" spans="1:14" x14ac:dyDescent="0.3">
      <c r="A217" s="101">
        <v>43042</v>
      </c>
      <c r="B217" t="s">
        <v>13</v>
      </c>
      <c r="C217">
        <v>69</v>
      </c>
      <c r="L217" s="46">
        <v>43044</v>
      </c>
      <c r="M217" t="s">
        <v>8</v>
      </c>
      <c r="N217">
        <v>157</v>
      </c>
    </row>
    <row r="218" spans="1:14" x14ac:dyDescent="0.3">
      <c r="A218" s="101">
        <v>43042</v>
      </c>
      <c r="B218" t="s">
        <v>5</v>
      </c>
      <c r="C218">
        <v>149</v>
      </c>
      <c r="L218" s="46">
        <v>43042</v>
      </c>
      <c r="M218" t="s">
        <v>13</v>
      </c>
      <c r="N218">
        <v>12</v>
      </c>
    </row>
    <row r="219" spans="1:14" x14ac:dyDescent="0.3">
      <c r="A219" s="101">
        <v>43040</v>
      </c>
      <c r="B219" t="s">
        <v>5</v>
      </c>
      <c r="C219">
        <v>38</v>
      </c>
      <c r="L219" s="46">
        <v>43045</v>
      </c>
      <c r="M219" t="s">
        <v>8</v>
      </c>
      <c r="N219">
        <v>71</v>
      </c>
    </row>
    <row r="220" spans="1:14" x14ac:dyDescent="0.3">
      <c r="A220" s="101">
        <v>43042</v>
      </c>
      <c r="B220" t="s">
        <v>7</v>
      </c>
      <c r="C220">
        <v>161</v>
      </c>
      <c r="L220" s="46">
        <v>43043</v>
      </c>
      <c r="M220" t="s">
        <v>5</v>
      </c>
      <c r="N220">
        <v>153</v>
      </c>
    </row>
    <row r="221" spans="1:14" x14ac:dyDescent="0.3">
      <c r="A221" s="101">
        <v>43043</v>
      </c>
      <c r="B221" t="s">
        <v>13</v>
      </c>
      <c r="C221">
        <v>157</v>
      </c>
      <c r="L221" s="46">
        <v>43044</v>
      </c>
      <c r="M221" t="s">
        <v>7</v>
      </c>
      <c r="N221">
        <v>95</v>
      </c>
    </row>
    <row r="222" spans="1:14" x14ac:dyDescent="0.3">
      <c r="A222" s="101">
        <v>43040</v>
      </c>
      <c r="B222" t="s">
        <v>7</v>
      </c>
      <c r="C222">
        <v>86</v>
      </c>
      <c r="L222" s="46">
        <v>43044</v>
      </c>
      <c r="M222" t="s">
        <v>7</v>
      </c>
      <c r="N222">
        <v>31</v>
      </c>
    </row>
    <row r="223" spans="1:14" x14ac:dyDescent="0.3">
      <c r="A223" s="101">
        <v>43042</v>
      </c>
      <c r="B223" t="s">
        <v>5</v>
      </c>
      <c r="C223">
        <v>78</v>
      </c>
      <c r="L223" s="46">
        <v>43044</v>
      </c>
      <c r="M223" t="s">
        <v>5</v>
      </c>
      <c r="N223">
        <v>47</v>
      </c>
    </row>
    <row r="224" spans="1:14" x14ac:dyDescent="0.3">
      <c r="A224" s="101">
        <v>43040</v>
      </c>
      <c r="B224" t="s">
        <v>13</v>
      </c>
      <c r="C224">
        <v>125</v>
      </c>
      <c r="L224" s="46">
        <v>43044</v>
      </c>
      <c r="M224" t="s">
        <v>5</v>
      </c>
      <c r="N224">
        <v>147</v>
      </c>
    </row>
    <row r="225" spans="1:14" x14ac:dyDescent="0.3">
      <c r="A225" s="101">
        <v>43045</v>
      </c>
      <c r="B225" t="s">
        <v>13</v>
      </c>
      <c r="C225">
        <v>48</v>
      </c>
      <c r="L225" s="46">
        <v>43047</v>
      </c>
      <c r="M225" t="s">
        <v>13</v>
      </c>
      <c r="N225">
        <v>135</v>
      </c>
    </row>
    <row r="226" spans="1:14" x14ac:dyDescent="0.3">
      <c r="A226" s="101">
        <v>43047</v>
      </c>
      <c r="B226" t="s">
        <v>5</v>
      </c>
      <c r="C226">
        <v>71</v>
      </c>
      <c r="L226" s="46">
        <v>43040</v>
      </c>
      <c r="M226" t="s">
        <v>13</v>
      </c>
      <c r="N226">
        <v>78</v>
      </c>
    </row>
    <row r="227" spans="1:14" x14ac:dyDescent="0.3">
      <c r="A227" s="101">
        <v>43043</v>
      </c>
      <c r="B227" t="s">
        <v>13</v>
      </c>
      <c r="C227">
        <v>32</v>
      </c>
      <c r="L227" s="46">
        <v>43046</v>
      </c>
      <c r="M227" t="s">
        <v>13</v>
      </c>
      <c r="N227">
        <v>94</v>
      </c>
    </row>
    <row r="228" spans="1:14" x14ac:dyDescent="0.3">
      <c r="A228" s="101">
        <v>43045</v>
      </c>
      <c r="B228" t="s">
        <v>8</v>
      </c>
      <c r="C228">
        <v>161</v>
      </c>
      <c r="L228" s="46">
        <v>43040</v>
      </c>
      <c r="M228" t="s">
        <v>8</v>
      </c>
      <c r="N228">
        <v>97</v>
      </c>
    </row>
    <row r="229" spans="1:14" x14ac:dyDescent="0.3">
      <c r="A229" s="101">
        <v>43047</v>
      </c>
      <c r="B229" t="s">
        <v>13</v>
      </c>
      <c r="C229">
        <v>65</v>
      </c>
      <c r="L229" s="46">
        <v>43045</v>
      </c>
      <c r="M229" t="s">
        <v>7</v>
      </c>
      <c r="N229">
        <v>170</v>
      </c>
    </row>
    <row r="230" spans="1:14" x14ac:dyDescent="0.3">
      <c r="A230" s="101">
        <v>43040</v>
      </c>
      <c r="B230" t="s">
        <v>7</v>
      </c>
      <c r="C230">
        <v>189</v>
      </c>
      <c r="L230" s="46">
        <v>43046</v>
      </c>
      <c r="M230" t="s">
        <v>7</v>
      </c>
      <c r="N230">
        <v>100</v>
      </c>
    </row>
    <row r="231" spans="1:14" x14ac:dyDescent="0.3">
      <c r="A231" s="101">
        <v>43045</v>
      </c>
      <c r="B231" t="s">
        <v>5</v>
      </c>
      <c r="C231">
        <v>181</v>
      </c>
      <c r="L231" s="46">
        <v>43041</v>
      </c>
      <c r="M231" t="s">
        <v>13</v>
      </c>
      <c r="N231">
        <v>57</v>
      </c>
    </row>
    <row r="232" spans="1:14" x14ac:dyDescent="0.3">
      <c r="A232" s="101">
        <v>43044</v>
      </c>
      <c r="B232" t="s">
        <v>13</v>
      </c>
      <c r="C232">
        <v>48</v>
      </c>
      <c r="L232" s="46">
        <v>43044</v>
      </c>
      <c r="M232" t="s">
        <v>5</v>
      </c>
      <c r="N232">
        <v>133</v>
      </c>
    </row>
    <row r="233" spans="1:14" x14ac:dyDescent="0.3">
      <c r="A233" s="101">
        <v>43044</v>
      </c>
      <c r="B233" t="s">
        <v>13</v>
      </c>
      <c r="C233">
        <v>132</v>
      </c>
      <c r="L233" s="46">
        <v>43045</v>
      </c>
      <c r="M233" t="s">
        <v>8</v>
      </c>
      <c r="N233">
        <v>176</v>
      </c>
    </row>
    <row r="234" spans="1:14" x14ac:dyDescent="0.3">
      <c r="A234" s="101">
        <v>43045</v>
      </c>
      <c r="B234" t="s">
        <v>5</v>
      </c>
      <c r="C234">
        <v>54</v>
      </c>
      <c r="L234" s="46">
        <v>43041</v>
      </c>
      <c r="M234" t="s">
        <v>13</v>
      </c>
      <c r="N234">
        <v>165</v>
      </c>
    </row>
    <row r="235" spans="1:14" x14ac:dyDescent="0.3">
      <c r="A235" s="101">
        <v>43044</v>
      </c>
      <c r="B235" t="s">
        <v>5</v>
      </c>
      <c r="C235">
        <v>103</v>
      </c>
      <c r="L235" s="46">
        <v>43040</v>
      </c>
      <c r="M235" t="s">
        <v>8</v>
      </c>
      <c r="N235">
        <v>182</v>
      </c>
    </row>
    <row r="236" spans="1:14" x14ac:dyDescent="0.3">
      <c r="A236" s="101">
        <v>43043</v>
      </c>
      <c r="B236" t="s">
        <v>8</v>
      </c>
      <c r="C236">
        <v>129</v>
      </c>
      <c r="L236" s="46">
        <v>43043</v>
      </c>
      <c r="M236" t="s">
        <v>7</v>
      </c>
      <c r="N236">
        <v>72</v>
      </c>
    </row>
    <row r="237" spans="1:14" x14ac:dyDescent="0.3">
      <c r="A237" s="101">
        <v>43042</v>
      </c>
      <c r="B237" t="s">
        <v>5</v>
      </c>
      <c r="C237">
        <v>104</v>
      </c>
      <c r="L237" s="46">
        <v>43045</v>
      </c>
      <c r="M237" t="s">
        <v>7</v>
      </c>
      <c r="N237">
        <v>45</v>
      </c>
    </row>
    <row r="238" spans="1:14" x14ac:dyDescent="0.3">
      <c r="A238" s="101">
        <v>43047</v>
      </c>
      <c r="B238" t="s">
        <v>8</v>
      </c>
      <c r="C238">
        <v>121</v>
      </c>
      <c r="L238" s="46">
        <v>43047</v>
      </c>
      <c r="M238" t="s">
        <v>5</v>
      </c>
      <c r="N238">
        <v>52</v>
      </c>
    </row>
    <row r="239" spans="1:14" x14ac:dyDescent="0.3">
      <c r="A239" s="101">
        <v>43043</v>
      </c>
      <c r="B239" t="s">
        <v>13</v>
      </c>
      <c r="C239">
        <v>148</v>
      </c>
      <c r="L239" s="46">
        <v>43047</v>
      </c>
      <c r="M239" t="s">
        <v>8</v>
      </c>
      <c r="N239">
        <v>10</v>
      </c>
    </row>
    <row r="240" spans="1:14" x14ac:dyDescent="0.3">
      <c r="A240" s="101">
        <v>43044</v>
      </c>
      <c r="B240" t="s">
        <v>13</v>
      </c>
      <c r="C240">
        <v>79</v>
      </c>
      <c r="L240" s="46">
        <v>43046</v>
      </c>
      <c r="M240" t="s">
        <v>13</v>
      </c>
      <c r="N240">
        <v>167</v>
      </c>
    </row>
    <row r="241" spans="1:14" x14ac:dyDescent="0.3">
      <c r="A241" s="101">
        <v>43046</v>
      </c>
      <c r="B241" t="s">
        <v>5</v>
      </c>
      <c r="C241">
        <v>180</v>
      </c>
      <c r="L241" s="46">
        <v>43041</v>
      </c>
      <c r="M241" t="s">
        <v>13</v>
      </c>
      <c r="N241">
        <v>49</v>
      </c>
    </row>
    <row r="242" spans="1:14" x14ac:dyDescent="0.3">
      <c r="A242" s="101">
        <v>43040</v>
      </c>
      <c r="B242" t="s">
        <v>5</v>
      </c>
      <c r="C242">
        <v>154</v>
      </c>
      <c r="L242" s="46">
        <v>43044</v>
      </c>
      <c r="M242" t="s">
        <v>8</v>
      </c>
      <c r="N242">
        <v>51</v>
      </c>
    </row>
    <row r="243" spans="1:14" x14ac:dyDescent="0.3">
      <c r="A243" s="101">
        <v>43047</v>
      </c>
      <c r="B243" t="s">
        <v>13</v>
      </c>
      <c r="C243">
        <v>103</v>
      </c>
      <c r="L243" s="46">
        <v>43044</v>
      </c>
      <c r="M243" t="s">
        <v>8</v>
      </c>
      <c r="N243">
        <v>146</v>
      </c>
    </row>
    <row r="244" spans="1:14" x14ac:dyDescent="0.3">
      <c r="A244" s="101">
        <v>43047</v>
      </c>
      <c r="B244" t="s">
        <v>7</v>
      </c>
      <c r="C244">
        <v>161</v>
      </c>
      <c r="L244" s="46">
        <v>43043</v>
      </c>
      <c r="M244" t="s">
        <v>7</v>
      </c>
      <c r="N244">
        <v>138</v>
      </c>
    </row>
    <row r="245" spans="1:14" x14ac:dyDescent="0.3">
      <c r="A245" s="101">
        <v>43047</v>
      </c>
      <c r="B245" t="s">
        <v>5</v>
      </c>
      <c r="C245">
        <v>96</v>
      </c>
      <c r="L245" s="46">
        <v>43047</v>
      </c>
      <c r="M245" t="s">
        <v>7</v>
      </c>
      <c r="N245">
        <v>162</v>
      </c>
    </row>
    <row r="246" spans="1:14" x14ac:dyDescent="0.3">
      <c r="A246" s="101">
        <v>43044</v>
      </c>
      <c r="B246" t="s">
        <v>5</v>
      </c>
      <c r="C246">
        <v>180</v>
      </c>
      <c r="L246" s="46">
        <v>43046</v>
      </c>
      <c r="M246" t="s">
        <v>8</v>
      </c>
      <c r="N246">
        <v>134</v>
      </c>
    </row>
    <row r="247" spans="1:14" x14ac:dyDescent="0.3">
      <c r="A247" s="101">
        <v>43047</v>
      </c>
      <c r="B247" t="s">
        <v>13</v>
      </c>
      <c r="C247">
        <v>40</v>
      </c>
      <c r="L247" s="46">
        <v>43046</v>
      </c>
      <c r="M247" t="s">
        <v>7</v>
      </c>
      <c r="N247">
        <v>177</v>
      </c>
    </row>
    <row r="248" spans="1:14" x14ac:dyDescent="0.3">
      <c r="A248" s="101">
        <v>43043</v>
      </c>
      <c r="B248" t="s">
        <v>8</v>
      </c>
      <c r="C248">
        <v>127</v>
      </c>
      <c r="L248" s="46">
        <v>43046</v>
      </c>
      <c r="M248" t="s">
        <v>13</v>
      </c>
      <c r="N248">
        <v>131</v>
      </c>
    </row>
    <row r="249" spans="1:14" x14ac:dyDescent="0.3">
      <c r="A249" s="101">
        <v>43047</v>
      </c>
      <c r="B249" t="s">
        <v>7</v>
      </c>
      <c r="C249">
        <v>165</v>
      </c>
      <c r="L249" s="46">
        <v>43045</v>
      </c>
      <c r="M249" t="s">
        <v>13</v>
      </c>
      <c r="N249">
        <v>97</v>
      </c>
    </row>
    <row r="250" spans="1:14" x14ac:dyDescent="0.3">
      <c r="A250" s="101">
        <v>43047</v>
      </c>
      <c r="B250" t="s">
        <v>7</v>
      </c>
      <c r="C250">
        <v>148</v>
      </c>
      <c r="L250" s="46">
        <v>43040</v>
      </c>
      <c r="M250" t="s">
        <v>8</v>
      </c>
      <c r="N250">
        <v>67</v>
      </c>
    </row>
    <row r="251" spans="1:14" x14ac:dyDescent="0.3">
      <c r="A251" s="101">
        <v>43045</v>
      </c>
      <c r="B251" t="s">
        <v>5</v>
      </c>
      <c r="C251">
        <v>132</v>
      </c>
      <c r="L251" s="46">
        <v>43047</v>
      </c>
      <c r="M251" t="s">
        <v>8</v>
      </c>
      <c r="N251">
        <v>91</v>
      </c>
    </row>
    <row r="252" spans="1:14" x14ac:dyDescent="0.3">
      <c r="A252" s="101">
        <v>43045</v>
      </c>
      <c r="B252" t="s">
        <v>7</v>
      </c>
      <c r="C252">
        <v>24</v>
      </c>
      <c r="L252" s="46">
        <v>43045</v>
      </c>
      <c r="M252" t="s">
        <v>7</v>
      </c>
      <c r="N252">
        <v>24</v>
      </c>
    </row>
    <row r="253" spans="1:14" x14ac:dyDescent="0.3">
      <c r="A253" s="101">
        <v>43042</v>
      </c>
      <c r="B253" t="s">
        <v>13</v>
      </c>
      <c r="C253">
        <v>131</v>
      </c>
      <c r="L253" s="46">
        <v>43047</v>
      </c>
      <c r="M253" t="s">
        <v>8</v>
      </c>
      <c r="N253">
        <v>84</v>
      </c>
    </row>
    <row r="254" spans="1:14" x14ac:dyDescent="0.3">
      <c r="A254" s="101">
        <v>43045</v>
      </c>
      <c r="B254" t="s">
        <v>7</v>
      </c>
      <c r="C254">
        <v>38</v>
      </c>
      <c r="L254" s="46">
        <v>43042</v>
      </c>
      <c r="M254" t="s">
        <v>7</v>
      </c>
      <c r="N254">
        <v>137</v>
      </c>
    </row>
    <row r="255" spans="1:14" x14ac:dyDescent="0.3">
      <c r="A255" s="101">
        <v>43042</v>
      </c>
      <c r="B255" t="s">
        <v>7</v>
      </c>
      <c r="C255">
        <v>114</v>
      </c>
      <c r="L255" s="46">
        <v>43045</v>
      </c>
      <c r="M255" t="s">
        <v>8</v>
      </c>
      <c r="N255">
        <v>176</v>
      </c>
    </row>
    <row r="256" spans="1:14" x14ac:dyDescent="0.3">
      <c r="A256" s="101">
        <v>43042</v>
      </c>
      <c r="B256" t="s">
        <v>8</v>
      </c>
      <c r="C256">
        <v>27</v>
      </c>
      <c r="L256" s="46">
        <v>43045</v>
      </c>
      <c r="M256" t="s">
        <v>13</v>
      </c>
      <c r="N256">
        <v>30</v>
      </c>
    </row>
    <row r="257" spans="1:14" x14ac:dyDescent="0.3">
      <c r="A257" s="101">
        <v>43046</v>
      </c>
      <c r="B257" t="s">
        <v>8</v>
      </c>
      <c r="C257">
        <v>29</v>
      </c>
      <c r="L257" s="46">
        <v>43042</v>
      </c>
      <c r="M257" t="s">
        <v>7</v>
      </c>
      <c r="N257">
        <v>7</v>
      </c>
    </row>
    <row r="258" spans="1:14" x14ac:dyDescent="0.3">
      <c r="A258" s="101">
        <v>43041</v>
      </c>
      <c r="B258" t="s">
        <v>7</v>
      </c>
      <c r="C258">
        <v>155</v>
      </c>
      <c r="L258" s="46">
        <v>43046</v>
      </c>
      <c r="M258" t="s">
        <v>8</v>
      </c>
      <c r="N258">
        <v>168</v>
      </c>
    </row>
    <row r="259" spans="1:14" x14ac:dyDescent="0.3">
      <c r="A259" s="101">
        <v>43041</v>
      </c>
      <c r="B259" t="s">
        <v>7</v>
      </c>
      <c r="C259">
        <v>45</v>
      </c>
      <c r="L259" s="46">
        <v>43045</v>
      </c>
      <c r="M259" t="s">
        <v>5</v>
      </c>
      <c r="N259">
        <v>23</v>
      </c>
    </row>
    <row r="260" spans="1:14" x14ac:dyDescent="0.3">
      <c r="A260" s="101">
        <v>43043</v>
      </c>
      <c r="B260" t="s">
        <v>5</v>
      </c>
      <c r="C260">
        <v>156</v>
      </c>
      <c r="L260" s="46">
        <v>43040</v>
      </c>
      <c r="M260" t="s">
        <v>13</v>
      </c>
      <c r="N260">
        <v>109</v>
      </c>
    </row>
    <row r="261" spans="1:14" x14ac:dyDescent="0.3">
      <c r="A261" s="101">
        <v>43043</v>
      </c>
      <c r="B261" t="s">
        <v>8</v>
      </c>
      <c r="C261">
        <v>81</v>
      </c>
      <c r="L261" s="46">
        <v>43043</v>
      </c>
      <c r="M261" t="s">
        <v>8</v>
      </c>
      <c r="N261">
        <v>45</v>
      </c>
    </row>
    <row r="262" spans="1:14" x14ac:dyDescent="0.3">
      <c r="A262" s="101">
        <v>43040</v>
      </c>
      <c r="B262" t="s">
        <v>13</v>
      </c>
      <c r="C262">
        <v>56</v>
      </c>
      <c r="L262" s="46">
        <v>43040</v>
      </c>
      <c r="M262" t="s">
        <v>5</v>
      </c>
      <c r="N262">
        <v>86</v>
      </c>
    </row>
    <row r="263" spans="1:14" x14ac:dyDescent="0.3">
      <c r="A263" s="101">
        <v>43043</v>
      </c>
      <c r="B263" t="s">
        <v>8</v>
      </c>
      <c r="C263">
        <v>12</v>
      </c>
      <c r="L263" s="46">
        <v>43043</v>
      </c>
      <c r="M263" t="s">
        <v>8</v>
      </c>
      <c r="N263">
        <v>130</v>
      </c>
    </row>
    <row r="264" spans="1:14" x14ac:dyDescent="0.3">
      <c r="A264" s="101">
        <v>43046</v>
      </c>
      <c r="B264" t="s">
        <v>7</v>
      </c>
      <c r="C264">
        <v>116</v>
      </c>
      <c r="L264" s="46">
        <v>43041</v>
      </c>
      <c r="M264" t="s">
        <v>8</v>
      </c>
      <c r="N264">
        <v>61</v>
      </c>
    </row>
    <row r="265" spans="1:14" x14ac:dyDescent="0.3">
      <c r="A265" s="101">
        <v>43043</v>
      </c>
      <c r="B265" t="s">
        <v>13</v>
      </c>
      <c r="C265">
        <v>145</v>
      </c>
      <c r="L265" s="46">
        <v>43044</v>
      </c>
      <c r="M265" t="s">
        <v>8</v>
      </c>
      <c r="N265">
        <v>134</v>
      </c>
    </row>
    <row r="266" spans="1:14" x14ac:dyDescent="0.3">
      <c r="A266" s="101">
        <v>43044</v>
      </c>
      <c r="B266" t="s">
        <v>5</v>
      </c>
      <c r="C266">
        <v>19</v>
      </c>
      <c r="L266" s="46">
        <v>43047</v>
      </c>
      <c r="M266" t="s">
        <v>5</v>
      </c>
      <c r="N266">
        <v>62</v>
      </c>
    </row>
    <row r="267" spans="1:14" x14ac:dyDescent="0.3">
      <c r="A267" s="101">
        <v>43041</v>
      </c>
      <c r="B267" t="s">
        <v>13</v>
      </c>
      <c r="C267">
        <v>27</v>
      </c>
      <c r="L267" s="46">
        <v>43044</v>
      </c>
      <c r="M267" t="s">
        <v>7</v>
      </c>
      <c r="N267">
        <v>85</v>
      </c>
    </row>
    <row r="268" spans="1:14" x14ac:dyDescent="0.3">
      <c r="A268" s="101">
        <v>43044</v>
      </c>
      <c r="B268" t="s">
        <v>13</v>
      </c>
      <c r="C268">
        <v>180</v>
      </c>
      <c r="L268" s="46">
        <v>43042</v>
      </c>
      <c r="M268" t="s">
        <v>13</v>
      </c>
      <c r="N268">
        <v>22</v>
      </c>
    </row>
    <row r="269" spans="1:14" x14ac:dyDescent="0.3">
      <c r="A269" s="101">
        <v>43044</v>
      </c>
      <c r="B269" t="s">
        <v>5</v>
      </c>
      <c r="C269">
        <v>29</v>
      </c>
      <c r="L269" s="46">
        <v>43040</v>
      </c>
      <c r="M269" t="s">
        <v>7</v>
      </c>
      <c r="N269">
        <v>2</v>
      </c>
    </row>
    <row r="270" spans="1:14" x14ac:dyDescent="0.3">
      <c r="A270" s="101">
        <v>43041</v>
      </c>
      <c r="B270" t="s">
        <v>5</v>
      </c>
      <c r="C270">
        <v>151</v>
      </c>
      <c r="L270" s="46">
        <v>43047</v>
      </c>
      <c r="M270" t="s">
        <v>5</v>
      </c>
      <c r="N270">
        <v>89</v>
      </c>
    </row>
    <row r="271" spans="1:14" x14ac:dyDescent="0.3">
      <c r="A271" s="101">
        <v>43041</v>
      </c>
      <c r="B271" t="s">
        <v>7</v>
      </c>
      <c r="C271">
        <v>162</v>
      </c>
      <c r="L271" s="46">
        <v>43044</v>
      </c>
      <c r="M271" t="s">
        <v>5</v>
      </c>
      <c r="N271">
        <v>142</v>
      </c>
    </row>
    <row r="272" spans="1:14" x14ac:dyDescent="0.3">
      <c r="A272" s="101">
        <v>43045</v>
      </c>
      <c r="B272" t="s">
        <v>13</v>
      </c>
      <c r="C272">
        <v>22</v>
      </c>
      <c r="L272" s="46">
        <v>43040</v>
      </c>
      <c r="M272" t="s">
        <v>13</v>
      </c>
      <c r="N272">
        <v>182</v>
      </c>
    </row>
    <row r="273" spans="1:14" x14ac:dyDescent="0.3">
      <c r="A273" s="101">
        <v>43047</v>
      </c>
      <c r="B273" t="s">
        <v>8</v>
      </c>
      <c r="C273">
        <v>11</v>
      </c>
      <c r="L273" s="46">
        <v>43043</v>
      </c>
      <c r="M273" t="s">
        <v>5</v>
      </c>
      <c r="N273">
        <v>165</v>
      </c>
    </row>
    <row r="274" spans="1:14" x14ac:dyDescent="0.3">
      <c r="A274" s="101">
        <v>43047</v>
      </c>
      <c r="B274" t="s">
        <v>13</v>
      </c>
      <c r="C274">
        <v>182</v>
      </c>
      <c r="L274" s="46">
        <v>43040</v>
      </c>
      <c r="M274" t="s">
        <v>5</v>
      </c>
      <c r="N274">
        <v>128</v>
      </c>
    </row>
    <row r="275" spans="1:14" x14ac:dyDescent="0.3">
      <c r="A275" s="101">
        <v>43046</v>
      </c>
      <c r="B275" t="s">
        <v>7</v>
      </c>
      <c r="C275">
        <v>150</v>
      </c>
      <c r="L275" s="46">
        <v>43042</v>
      </c>
      <c r="M275" t="s">
        <v>7</v>
      </c>
      <c r="N275">
        <v>180</v>
      </c>
    </row>
    <row r="276" spans="1:14" x14ac:dyDescent="0.3">
      <c r="A276" s="101">
        <v>43047</v>
      </c>
      <c r="B276" t="s">
        <v>8</v>
      </c>
      <c r="C276">
        <v>122</v>
      </c>
      <c r="L276" s="46">
        <v>43040</v>
      </c>
      <c r="M276" t="s">
        <v>8</v>
      </c>
      <c r="N276">
        <v>89</v>
      </c>
    </row>
    <row r="277" spans="1:14" x14ac:dyDescent="0.3">
      <c r="A277" s="101">
        <v>43045</v>
      </c>
      <c r="B277" t="s">
        <v>13</v>
      </c>
      <c r="C277">
        <v>167</v>
      </c>
      <c r="L277" s="46">
        <v>43045</v>
      </c>
      <c r="M277" t="s">
        <v>5</v>
      </c>
      <c r="N277">
        <v>134</v>
      </c>
    </row>
    <row r="278" spans="1:14" x14ac:dyDescent="0.3">
      <c r="A278" s="101">
        <v>43046</v>
      </c>
      <c r="B278" t="s">
        <v>7</v>
      </c>
      <c r="C278">
        <v>104</v>
      </c>
      <c r="L278" s="46">
        <v>43043</v>
      </c>
      <c r="M278" t="s">
        <v>7</v>
      </c>
      <c r="N278">
        <v>191</v>
      </c>
    </row>
    <row r="279" spans="1:14" x14ac:dyDescent="0.3">
      <c r="A279" s="101">
        <v>43043</v>
      </c>
      <c r="B279" t="s">
        <v>13</v>
      </c>
      <c r="C279">
        <v>41</v>
      </c>
      <c r="L279" s="46">
        <v>43041</v>
      </c>
      <c r="M279" t="s">
        <v>13</v>
      </c>
      <c r="N279">
        <v>191</v>
      </c>
    </row>
    <row r="280" spans="1:14" x14ac:dyDescent="0.3">
      <c r="A280" s="101">
        <v>43046</v>
      </c>
      <c r="B280" t="s">
        <v>13</v>
      </c>
      <c r="C280">
        <v>32</v>
      </c>
      <c r="L280" s="46">
        <v>43046</v>
      </c>
      <c r="M280" t="s">
        <v>13</v>
      </c>
      <c r="N280">
        <v>81</v>
      </c>
    </row>
    <row r="281" spans="1:14" x14ac:dyDescent="0.3">
      <c r="A281" s="101">
        <v>43045</v>
      </c>
      <c r="B281" t="s">
        <v>8</v>
      </c>
      <c r="C281">
        <v>104</v>
      </c>
      <c r="L281" s="46">
        <v>43044</v>
      </c>
      <c r="M281" t="s">
        <v>8</v>
      </c>
      <c r="N281">
        <v>164</v>
      </c>
    </row>
    <row r="282" spans="1:14" x14ac:dyDescent="0.3">
      <c r="A282" s="101">
        <v>43042</v>
      </c>
      <c r="B282" t="s">
        <v>5</v>
      </c>
      <c r="C282">
        <v>15</v>
      </c>
      <c r="L282" s="46">
        <v>43043</v>
      </c>
      <c r="M282" t="s">
        <v>7</v>
      </c>
      <c r="N282">
        <v>65</v>
      </c>
    </row>
    <row r="283" spans="1:14" x14ac:dyDescent="0.3">
      <c r="A283" s="101">
        <v>43043</v>
      </c>
      <c r="B283" t="s">
        <v>5</v>
      </c>
      <c r="C283">
        <v>70</v>
      </c>
      <c r="L283" s="46">
        <v>43043</v>
      </c>
      <c r="M283" t="s">
        <v>7</v>
      </c>
      <c r="N283">
        <v>183</v>
      </c>
    </row>
    <row r="284" spans="1:14" x14ac:dyDescent="0.3">
      <c r="A284" s="101">
        <v>43047</v>
      </c>
      <c r="B284" t="s">
        <v>13</v>
      </c>
      <c r="C284">
        <v>173</v>
      </c>
      <c r="L284" s="46">
        <v>43040</v>
      </c>
      <c r="M284" t="s">
        <v>5</v>
      </c>
      <c r="N284">
        <v>82</v>
      </c>
    </row>
    <row r="285" spans="1:14" x14ac:dyDescent="0.3">
      <c r="A285" s="101">
        <v>43042</v>
      </c>
      <c r="B285" t="s">
        <v>13</v>
      </c>
      <c r="C285">
        <v>69</v>
      </c>
      <c r="L285" s="46">
        <v>43041</v>
      </c>
      <c r="M285" t="s">
        <v>7</v>
      </c>
      <c r="N285">
        <v>75</v>
      </c>
    </row>
    <row r="286" spans="1:14" x14ac:dyDescent="0.3">
      <c r="A286" s="101">
        <v>43047</v>
      </c>
      <c r="B286" t="s">
        <v>7</v>
      </c>
      <c r="C286">
        <v>29</v>
      </c>
      <c r="L286" s="46">
        <v>43041</v>
      </c>
      <c r="M286" t="s">
        <v>5</v>
      </c>
      <c r="N286">
        <v>88</v>
      </c>
    </row>
    <row r="287" spans="1:14" x14ac:dyDescent="0.3">
      <c r="A287" s="101">
        <v>43042</v>
      </c>
      <c r="B287" t="s">
        <v>8</v>
      </c>
      <c r="C287">
        <v>185</v>
      </c>
      <c r="L287" s="46">
        <v>43047</v>
      </c>
      <c r="M287" t="s">
        <v>5</v>
      </c>
      <c r="N287">
        <v>14</v>
      </c>
    </row>
    <row r="288" spans="1:14" x14ac:dyDescent="0.3">
      <c r="A288" s="101">
        <v>43040</v>
      </c>
      <c r="B288" t="s">
        <v>5</v>
      </c>
      <c r="C288">
        <v>123</v>
      </c>
      <c r="L288" s="46">
        <v>43044</v>
      </c>
      <c r="M288" t="s">
        <v>5</v>
      </c>
      <c r="N288">
        <v>124</v>
      </c>
    </row>
    <row r="289" spans="1:14" x14ac:dyDescent="0.3">
      <c r="A289" s="101">
        <v>43043</v>
      </c>
      <c r="B289" t="s">
        <v>7</v>
      </c>
      <c r="C289">
        <v>156</v>
      </c>
      <c r="L289" s="46">
        <v>43043</v>
      </c>
      <c r="M289" t="s">
        <v>7</v>
      </c>
      <c r="N289">
        <v>153</v>
      </c>
    </row>
    <row r="290" spans="1:14" x14ac:dyDescent="0.3">
      <c r="A290" s="101">
        <v>43044</v>
      </c>
      <c r="B290" t="s">
        <v>8</v>
      </c>
      <c r="C290">
        <v>39</v>
      </c>
      <c r="L290" s="46">
        <v>43043</v>
      </c>
      <c r="M290" t="s">
        <v>13</v>
      </c>
      <c r="N290">
        <v>113</v>
      </c>
    </row>
    <row r="291" spans="1:14" x14ac:dyDescent="0.3">
      <c r="A291" s="101">
        <v>43045</v>
      </c>
      <c r="B291" t="s">
        <v>7</v>
      </c>
      <c r="C291">
        <v>18</v>
      </c>
      <c r="L291" s="46">
        <v>43047</v>
      </c>
      <c r="M291" t="s">
        <v>5</v>
      </c>
      <c r="N291">
        <v>94</v>
      </c>
    </row>
    <row r="292" spans="1:14" x14ac:dyDescent="0.3">
      <c r="A292" s="101">
        <v>43040</v>
      </c>
      <c r="B292" t="s">
        <v>8</v>
      </c>
      <c r="C292">
        <v>64</v>
      </c>
      <c r="L292" s="46">
        <v>43042</v>
      </c>
      <c r="M292" t="s">
        <v>7</v>
      </c>
      <c r="N292">
        <v>16</v>
      </c>
    </row>
    <row r="293" spans="1:14" x14ac:dyDescent="0.3">
      <c r="A293" s="101">
        <v>43044</v>
      </c>
      <c r="B293" t="s">
        <v>7</v>
      </c>
      <c r="C293">
        <v>34</v>
      </c>
      <c r="L293" s="46">
        <v>43046</v>
      </c>
      <c r="M293" t="s">
        <v>13</v>
      </c>
      <c r="N293">
        <v>156</v>
      </c>
    </row>
    <row r="294" spans="1:14" x14ac:dyDescent="0.3">
      <c r="A294" s="101">
        <v>43046</v>
      </c>
      <c r="B294" t="s">
        <v>13</v>
      </c>
      <c r="C294">
        <v>186</v>
      </c>
      <c r="L294" s="46">
        <v>43042</v>
      </c>
      <c r="M294" t="s">
        <v>13</v>
      </c>
      <c r="N294">
        <v>16</v>
      </c>
    </row>
    <row r="295" spans="1:14" x14ac:dyDescent="0.3">
      <c r="A295" s="101">
        <v>43044</v>
      </c>
      <c r="B295" t="s">
        <v>7</v>
      </c>
      <c r="C295">
        <v>130</v>
      </c>
      <c r="L295" s="46">
        <v>43041</v>
      </c>
      <c r="M295" t="s">
        <v>13</v>
      </c>
      <c r="N295">
        <v>165</v>
      </c>
    </row>
    <row r="296" spans="1:14" x14ac:dyDescent="0.3">
      <c r="A296" s="101">
        <v>43043</v>
      </c>
      <c r="B296" t="s">
        <v>8</v>
      </c>
      <c r="C296">
        <v>115</v>
      </c>
      <c r="L296" s="46">
        <v>43042</v>
      </c>
      <c r="M296" t="s">
        <v>5</v>
      </c>
      <c r="N296">
        <v>108</v>
      </c>
    </row>
    <row r="297" spans="1:14" x14ac:dyDescent="0.3">
      <c r="A297" s="101">
        <v>43040</v>
      </c>
      <c r="B297" t="s">
        <v>13</v>
      </c>
      <c r="C297">
        <v>101</v>
      </c>
      <c r="L297" s="46">
        <v>43045</v>
      </c>
      <c r="M297" t="s">
        <v>7</v>
      </c>
      <c r="N297">
        <v>158</v>
      </c>
    </row>
    <row r="298" spans="1:14" x14ac:dyDescent="0.3">
      <c r="A298" s="101">
        <v>43045</v>
      </c>
      <c r="B298" t="s">
        <v>5</v>
      </c>
      <c r="C298">
        <v>80</v>
      </c>
      <c r="L298" s="46">
        <v>43046</v>
      </c>
      <c r="M298" t="s">
        <v>13</v>
      </c>
      <c r="N298">
        <v>107</v>
      </c>
    </row>
    <row r="299" spans="1:14" x14ac:dyDescent="0.3">
      <c r="A299" s="101">
        <v>43040</v>
      </c>
      <c r="B299" t="s">
        <v>13</v>
      </c>
      <c r="C299">
        <v>9</v>
      </c>
      <c r="L299" s="46">
        <v>43043</v>
      </c>
      <c r="M299" t="s">
        <v>8</v>
      </c>
      <c r="N299">
        <v>127</v>
      </c>
    </row>
    <row r="300" spans="1:14" x14ac:dyDescent="0.3">
      <c r="A300" s="101">
        <v>43040</v>
      </c>
      <c r="B300" t="s">
        <v>13</v>
      </c>
      <c r="C300">
        <v>50</v>
      </c>
      <c r="L300" s="46">
        <v>43047</v>
      </c>
      <c r="M300" t="s">
        <v>13</v>
      </c>
      <c r="N300">
        <v>120</v>
      </c>
    </row>
    <row r="301" spans="1:14" x14ac:dyDescent="0.3">
      <c r="A301" s="101">
        <v>43046</v>
      </c>
      <c r="B301" t="s">
        <v>5</v>
      </c>
      <c r="C301">
        <v>94</v>
      </c>
      <c r="L301" s="46">
        <v>43045</v>
      </c>
      <c r="M301" t="s">
        <v>7</v>
      </c>
      <c r="N301">
        <v>69</v>
      </c>
    </row>
    <row r="302" spans="1:14" x14ac:dyDescent="0.3">
      <c r="A302" s="101">
        <v>43043</v>
      </c>
      <c r="B302" t="s">
        <v>7</v>
      </c>
      <c r="C302">
        <v>103</v>
      </c>
      <c r="L302" s="46">
        <v>43047</v>
      </c>
      <c r="M302" t="s">
        <v>7</v>
      </c>
      <c r="N302">
        <v>186</v>
      </c>
    </row>
    <row r="303" spans="1:14" x14ac:dyDescent="0.3">
      <c r="A303" s="101">
        <v>43041</v>
      </c>
      <c r="B303" t="s">
        <v>7</v>
      </c>
      <c r="C303">
        <v>82</v>
      </c>
      <c r="L303" s="46">
        <v>43044</v>
      </c>
      <c r="M303" t="s">
        <v>7</v>
      </c>
      <c r="N303">
        <v>171</v>
      </c>
    </row>
    <row r="304" spans="1:14" x14ac:dyDescent="0.3">
      <c r="A304" s="101">
        <v>43041</v>
      </c>
      <c r="B304" t="s">
        <v>7</v>
      </c>
      <c r="C304">
        <v>116</v>
      </c>
      <c r="L304" s="46">
        <v>43044</v>
      </c>
      <c r="M304" t="s">
        <v>5</v>
      </c>
      <c r="N304">
        <v>99</v>
      </c>
    </row>
    <row r="305" spans="1:14" x14ac:dyDescent="0.3">
      <c r="A305" s="101">
        <v>43040</v>
      </c>
      <c r="B305" t="s">
        <v>13</v>
      </c>
      <c r="C305">
        <v>161</v>
      </c>
      <c r="L305" s="46">
        <v>43044</v>
      </c>
      <c r="M305" t="s">
        <v>8</v>
      </c>
      <c r="N305">
        <v>164</v>
      </c>
    </row>
    <row r="306" spans="1:14" x14ac:dyDescent="0.3">
      <c r="A306" s="101">
        <v>43046</v>
      </c>
      <c r="B306" t="s">
        <v>5</v>
      </c>
      <c r="C306">
        <v>136</v>
      </c>
      <c r="L306" s="46">
        <v>43041</v>
      </c>
      <c r="M306" t="s">
        <v>5</v>
      </c>
      <c r="N306">
        <v>158</v>
      </c>
    </row>
    <row r="307" spans="1:14" x14ac:dyDescent="0.3">
      <c r="A307" s="101">
        <v>43043</v>
      </c>
      <c r="B307" t="s">
        <v>13</v>
      </c>
      <c r="C307">
        <v>50</v>
      </c>
      <c r="L307" s="46">
        <v>43042</v>
      </c>
      <c r="M307" t="s">
        <v>7</v>
      </c>
      <c r="N307">
        <v>156</v>
      </c>
    </row>
    <row r="308" spans="1:14" x14ac:dyDescent="0.3">
      <c r="A308" s="101">
        <v>43043</v>
      </c>
      <c r="B308" t="s">
        <v>7</v>
      </c>
      <c r="C308">
        <v>149</v>
      </c>
      <c r="L308" s="46">
        <v>43041</v>
      </c>
      <c r="M308" t="s">
        <v>8</v>
      </c>
      <c r="N308">
        <v>152</v>
      </c>
    </row>
    <row r="309" spans="1:14" x14ac:dyDescent="0.3">
      <c r="A309" s="101">
        <v>43045</v>
      </c>
      <c r="B309" t="s">
        <v>8</v>
      </c>
      <c r="C309">
        <v>35</v>
      </c>
      <c r="L309" s="46">
        <v>43046</v>
      </c>
      <c r="M309" t="s">
        <v>8</v>
      </c>
      <c r="N309">
        <v>158</v>
      </c>
    </row>
    <row r="310" spans="1:14" x14ac:dyDescent="0.3">
      <c r="A310" s="101">
        <v>43047</v>
      </c>
      <c r="B310" t="s">
        <v>7</v>
      </c>
      <c r="C310">
        <v>8</v>
      </c>
      <c r="L310" s="46">
        <v>43041</v>
      </c>
      <c r="M310" t="s">
        <v>5</v>
      </c>
      <c r="N310">
        <v>190</v>
      </c>
    </row>
    <row r="311" spans="1:14" x14ac:dyDescent="0.3">
      <c r="A311" s="101">
        <v>43042</v>
      </c>
      <c r="B311" t="s">
        <v>5</v>
      </c>
      <c r="C311">
        <v>54</v>
      </c>
      <c r="L311" s="46">
        <v>43044</v>
      </c>
      <c r="M311" t="s">
        <v>13</v>
      </c>
      <c r="N311">
        <v>11</v>
      </c>
    </row>
    <row r="312" spans="1:14" x14ac:dyDescent="0.3">
      <c r="A312" s="101">
        <v>43040</v>
      </c>
      <c r="B312" t="s">
        <v>5</v>
      </c>
      <c r="C312">
        <v>88</v>
      </c>
      <c r="L312" s="46">
        <v>43045</v>
      </c>
      <c r="M312" t="s">
        <v>7</v>
      </c>
      <c r="N312">
        <v>4</v>
      </c>
    </row>
    <row r="313" spans="1:14" x14ac:dyDescent="0.3">
      <c r="A313" s="101">
        <v>43044</v>
      </c>
      <c r="B313" t="s">
        <v>5</v>
      </c>
      <c r="C313">
        <v>176</v>
      </c>
      <c r="L313" s="46">
        <v>43044</v>
      </c>
      <c r="M313" t="s">
        <v>8</v>
      </c>
      <c r="N313">
        <v>101</v>
      </c>
    </row>
    <row r="314" spans="1:14" x14ac:dyDescent="0.3">
      <c r="A314" s="101">
        <v>43040</v>
      </c>
      <c r="B314" t="s">
        <v>5</v>
      </c>
      <c r="C314">
        <v>79</v>
      </c>
      <c r="L314" s="46">
        <v>43040</v>
      </c>
      <c r="M314" t="s">
        <v>7</v>
      </c>
      <c r="N314">
        <v>8</v>
      </c>
    </row>
    <row r="315" spans="1:14" x14ac:dyDescent="0.3">
      <c r="A315" s="101">
        <v>43045</v>
      </c>
      <c r="B315" t="s">
        <v>13</v>
      </c>
      <c r="C315">
        <v>163</v>
      </c>
      <c r="L315" s="46">
        <v>43047</v>
      </c>
      <c r="M315" t="s">
        <v>7</v>
      </c>
      <c r="N315">
        <v>140</v>
      </c>
    </row>
    <row r="316" spans="1:14" x14ac:dyDescent="0.3">
      <c r="A316" s="101">
        <v>43041</v>
      </c>
      <c r="B316" t="s">
        <v>8</v>
      </c>
      <c r="C316">
        <v>8</v>
      </c>
      <c r="L316" s="46">
        <v>43042</v>
      </c>
      <c r="M316" t="s">
        <v>5</v>
      </c>
      <c r="N316">
        <v>148</v>
      </c>
    </row>
    <row r="317" spans="1:14" x14ac:dyDescent="0.3">
      <c r="A317" s="101">
        <v>43045</v>
      </c>
      <c r="B317" t="s">
        <v>7</v>
      </c>
      <c r="C317">
        <v>188</v>
      </c>
      <c r="L317" s="46">
        <v>43046</v>
      </c>
      <c r="M317" t="s">
        <v>7</v>
      </c>
      <c r="N317">
        <v>174</v>
      </c>
    </row>
    <row r="318" spans="1:14" x14ac:dyDescent="0.3">
      <c r="A318" s="101">
        <v>43040</v>
      </c>
      <c r="B318" t="s">
        <v>5</v>
      </c>
      <c r="C318">
        <v>35</v>
      </c>
      <c r="L318" s="46">
        <v>43046</v>
      </c>
      <c r="M318" t="s">
        <v>5</v>
      </c>
      <c r="N318">
        <v>112</v>
      </c>
    </row>
    <row r="319" spans="1:14" x14ac:dyDescent="0.3">
      <c r="A319" s="101">
        <v>43047</v>
      </c>
      <c r="B319" t="s">
        <v>8</v>
      </c>
      <c r="C319">
        <v>10</v>
      </c>
      <c r="L319" s="46">
        <v>43045</v>
      </c>
      <c r="M319" t="s">
        <v>5</v>
      </c>
      <c r="N319">
        <v>12</v>
      </c>
    </row>
    <row r="320" spans="1:14" x14ac:dyDescent="0.3">
      <c r="A320" s="101">
        <v>43045</v>
      </c>
      <c r="B320" t="s">
        <v>5</v>
      </c>
      <c r="C320">
        <v>36</v>
      </c>
      <c r="L320" s="46">
        <v>43041</v>
      </c>
      <c r="M320" t="s">
        <v>7</v>
      </c>
      <c r="N320">
        <v>55</v>
      </c>
    </row>
    <row r="321" spans="1:14" x14ac:dyDescent="0.3">
      <c r="A321" s="101">
        <v>43043</v>
      </c>
      <c r="B321" t="s">
        <v>7</v>
      </c>
      <c r="C321">
        <v>172</v>
      </c>
      <c r="L321" s="46">
        <v>43045</v>
      </c>
      <c r="M321" t="s">
        <v>13</v>
      </c>
      <c r="N321">
        <v>29</v>
      </c>
    </row>
    <row r="322" spans="1:14" x14ac:dyDescent="0.3">
      <c r="A322" s="101">
        <v>43044</v>
      </c>
      <c r="B322" t="s">
        <v>13</v>
      </c>
      <c r="C322">
        <v>142</v>
      </c>
      <c r="L322" s="46">
        <v>43044</v>
      </c>
      <c r="M322" t="s">
        <v>13</v>
      </c>
      <c r="N322">
        <v>23</v>
      </c>
    </row>
    <row r="323" spans="1:14" x14ac:dyDescent="0.3">
      <c r="A323" s="101">
        <v>43044</v>
      </c>
      <c r="B323" t="s">
        <v>8</v>
      </c>
      <c r="C323">
        <v>79</v>
      </c>
      <c r="L323" s="46">
        <v>43043</v>
      </c>
      <c r="M323" t="s">
        <v>13</v>
      </c>
      <c r="N323">
        <v>31</v>
      </c>
    </row>
    <row r="324" spans="1:14" x14ac:dyDescent="0.3">
      <c r="A324" s="101">
        <v>43040</v>
      </c>
      <c r="B324" t="s">
        <v>7</v>
      </c>
      <c r="C324">
        <v>3</v>
      </c>
      <c r="L324" s="46">
        <v>43041</v>
      </c>
      <c r="M324" t="s">
        <v>7</v>
      </c>
      <c r="N324">
        <v>152</v>
      </c>
    </row>
    <row r="325" spans="1:14" x14ac:dyDescent="0.3">
      <c r="A325" s="101">
        <v>43045</v>
      </c>
      <c r="B325" t="s">
        <v>5</v>
      </c>
      <c r="C325">
        <v>106</v>
      </c>
      <c r="L325" s="46">
        <v>43042</v>
      </c>
      <c r="M325" t="s">
        <v>8</v>
      </c>
      <c r="N325">
        <v>113</v>
      </c>
    </row>
    <row r="326" spans="1:14" x14ac:dyDescent="0.3">
      <c r="A326" s="101">
        <v>43041</v>
      </c>
      <c r="B326" t="s">
        <v>8</v>
      </c>
      <c r="C326">
        <v>16</v>
      </c>
    </row>
    <row r="327" spans="1:14" x14ac:dyDescent="0.3">
      <c r="A327" s="101">
        <v>43042</v>
      </c>
      <c r="B327" t="s">
        <v>8</v>
      </c>
      <c r="C327">
        <v>123</v>
      </c>
    </row>
    <row r="328" spans="1:14" x14ac:dyDescent="0.3">
      <c r="A328" s="101">
        <v>43045</v>
      </c>
      <c r="B328" t="s">
        <v>8</v>
      </c>
      <c r="C328">
        <v>80</v>
      </c>
    </row>
    <row r="329" spans="1:14" x14ac:dyDescent="0.3">
      <c r="A329" s="101">
        <v>43044</v>
      </c>
      <c r="B329" t="s">
        <v>7</v>
      </c>
      <c r="C329">
        <v>155</v>
      </c>
    </row>
    <row r="330" spans="1:14" x14ac:dyDescent="0.3">
      <c r="A330" s="101">
        <v>43047</v>
      </c>
      <c r="B330" t="s">
        <v>7</v>
      </c>
      <c r="C330">
        <v>130</v>
      </c>
    </row>
    <row r="331" spans="1:14" x14ac:dyDescent="0.3">
      <c r="A331" s="101">
        <v>43042</v>
      </c>
      <c r="B331" t="s">
        <v>8</v>
      </c>
      <c r="C331">
        <v>87</v>
      </c>
    </row>
    <row r="332" spans="1:14" x14ac:dyDescent="0.3">
      <c r="A332" s="101">
        <v>43042</v>
      </c>
      <c r="B332" t="s">
        <v>13</v>
      </c>
      <c r="C332">
        <v>104</v>
      </c>
    </row>
    <row r="333" spans="1:14" x14ac:dyDescent="0.3">
      <c r="A333" s="101">
        <v>43045</v>
      </c>
      <c r="B333" t="s">
        <v>8</v>
      </c>
      <c r="C333">
        <v>83</v>
      </c>
    </row>
    <row r="334" spans="1:14" x14ac:dyDescent="0.3">
      <c r="A334" s="101">
        <v>43047</v>
      </c>
      <c r="B334" t="s">
        <v>5</v>
      </c>
      <c r="C334">
        <v>139</v>
      </c>
    </row>
    <row r="335" spans="1:14" x14ac:dyDescent="0.3">
      <c r="A335" s="101">
        <v>43041</v>
      </c>
      <c r="B335" t="s">
        <v>13</v>
      </c>
      <c r="C335">
        <v>139</v>
      </c>
    </row>
    <row r="336" spans="1:14" x14ac:dyDescent="0.3">
      <c r="A336" s="101">
        <v>43042</v>
      </c>
      <c r="B336" t="s">
        <v>13</v>
      </c>
      <c r="C336">
        <v>84</v>
      </c>
    </row>
    <row r="337" spans="1:3" x14ac:dyDescent="0.3">
      <c r="A337" s="101">
        <v>43041</v>
      </c>
      <c r="B337" t="s">
        <v>8</v>
      </c>
      <c r="C337">
        <v>128</v>
      </c>
    </row>
    <row r="338" spans="1:3" x14ac:dyDescent="0.3">
      <c r="A338" s="101">
        <v>43045</v>
      </c>
      <c r="B338" t="s">
        <v>5</v>
      </c>
      <c r="C338">
        <v>139</v>
      </c>
    </row>
    <row r="339" spans="1:3" x14ac:dyDescent="0.3">
      <c r="A339" s="101">
        <v>43046</v>
      </c>
      <c r="B339" t="s">
        <v>5</v>
      </c>
      <c r="C339">
        <v>66</v>
      </c>
    </row>
    <row r="340" spans="1:3" x14ac:dyDescent="0.3">
      <c r="A340" s="101">
        <v>43047</v>
      </c>
      <c r="B340" t="s">
        <v>7</v>
      </c>
      <c r="C340">
        <v>84</v>
      </c>
    </row>
    <row r="341" spans="1:3" x14ac:dyDescent="0.3">
      <c r="A341" s="101">
        <v>43045</v>
      </c>
      <c r="B341" t="s">
        <v>7</v>
      </c>
      <c r="C341">
        <v>149</v>
      </c>
    </row>
    <row r="342" spans="1:3" x14ac:dyDescent="0.3">
      <c r="A342" s="101">
        <v>43043</v>
      </c>
      <c r="B342" t="s">
        <v>5</v>
      </c>
      <c r="C342">
        <v>120</v>
      </c>
    </row>
    <row r="343" spans="1:3" x14ac:dyDescent="0.3">
      <c r="A343" s="101">
        <v>43044</v>
      </c>
      <c r="B343" t="s">
        <v>8</v>
      </c>
      <c r="C343">
        <v>135</v>
      </c>
    </row>
    <row r="344" spans="1:3" x14ac:dyDescent="0.3">
      <c r="A344" s="101">
        <v>43043</v>
      </c>
      <c r="B344" t="s">
        <v>8</v>
      </c>
      <c r="C344">
        <v>84</v>
      </c>
    </row>
    <row r="345" spans="1:3" x14ac:dyDescent="0.3">
      <c r="A345" s="101">
        <v>43044</v>
      </c>
      <c r="B345" t="s">
        <v>5</v>
      </c>
      <c r="C345">
        <v>120</v>
      </c>
    </row>
    <row r="346" spans="1:3" x14ac:dyDescent="0.3">
      <c r="A346" s="101">
        <v>43041</v>
      </c>
      <c r="B346" t="s">
        <v>8</v>
      </c>
      <c r="C346">
        <v>29</v>
      </c>
    </row>
    <row r="347" spans="1:3" x14ac:dyDescent="0.3">
      <c r="A347" s="101">
        <v>43040</v>
      </c>
      <c r="B347" t="s">
        <v>5</v>
      </c>
      <c r="C347">
        <v>113</v>
      </c>
    </row>
    <row r="348" spans="1:3" x14ac:dyDescent="0.3">
      <c r="A348" s="101">
        <v>43046</v>
      </c>
      <c r="B348" t="s">
        <v>7</v>
      </c>
      <c r="C348">
        <v>5</v>
      </c>
    </row>
    <row r="349" spans="1:3" x14ac:dyDescent="0.3">
      <c r="A349" s="101">
        <v>43045</v>
      </c>
      <c r="B349" t="s">
        <v>8</v>
      </c>
      <c r="C349">
        <v>10</v>
      </c>
    </row>
    <row r="350" spans="1:3" x14ac:dyDescent="0.3">
      <c r="A350" s="101">
        <v>43041</v>
      </c>
      <c r="B350" t="s">
        <v>8</v>
      </c>
      <c r="C350">
        <v>184</v>
      </c>
    </row>
    <row r="351" spans="1:3" x14ac:dyDescent="0.3">
      <c r="A351" s="101">
        <v>43040</v>
      </c>
      <c r="B351" t="s">
        <v>8</v>
      </c>
      <c r="C351">
        <v>45</v>
      </c>
    </row>
    <row r="352" spans="1:3" x14ac:dyDescent="0.3">
      <c r="A352" s="101">
        <v>43042</v>
      </c>
      <c r="B352" t="s">
        <v>13</v>
      </c>
      <c r="C352">
        <v>39</v>
      </c>
    </row>
    <row r="353" spans="1:3" x14ac:dyDescent="0.3">
      <c r="A353" s="101">
        <v>43040</v>
      </c>
      <c r="B353" t="s">
        <v>5</v>
      </c>
      <c r="C353">
        <v>55</v>
      </c>
    </row>
    <row r="354" spans="1:3" x14ac:dyDescent="0.3">
      <c r="A354" s="101">
        <v>43042</v>
      </c>
      <c r="B354" t="s">
        <v>13</v>
      </c>
      <c r="C354">
        <v>185</v>
      </c>
    </row>
    <row r="355" spans="1:3" x14ac:dyDescent="0.3">
      <c r="A355" s="101">
        <v>43045</v>
      </c>
      <c r="B355" t="s">
        <v>5</v>
      </c>
      <c r="C355">
        <v>22</v>
      </c>
    </row>
    <row r="356" spans="1:3" x14ac:dyDescent="0.3">
      <c r="A356" s="101">
        <v>43040</v>
      </c>
      <c r="B356" t="s">
        <v>7</v>
      </c>
      <c r="C356">
        <v>103</v>
      </c>
    </row>
    <row r="357" spans="1:3" x14ac:dyDescent="0.3">
      <c r="A357" s="101">
        <v>43042</v>
      </c>
      <c r="B357" t="s">
        <v>5</v>
      </c>
      <c r="C357">
        <v>149</v>
      </c>
    </row>
    <row r="358" spans="1:3" x14ac:dyDescent="0.3">
      <c r="A358" s="101">
        <v>43046</v>
      </c>
      <c r="B358" t="s">
        <v>8</v>
      </c>
      <c r="C358">
        <v>70</v>
      </c>
    </row>
    <row r="359" spans="1:3" x14ac:dyDescent="0.3">
      <c r="A359" s="101">
        <v>43040</v>
      </c>
      <c r="B359" t="s">
        <v>13</v>
      </c>
      <c r="C359">
        <v>30</v>
      </c>
    </row>
    <row r="360" spans="1:3" x14ac:dyDescent="0.3">
      <c r="A360" s="101">
        <v>43047</v>
      </c>
      <c r="B360" t="s">
        <v>8</v>
      </c>
      <c r="C360">
        <v>119</v>
      </c>
    </row>
    <row r="361" spans="1:3" x14ac:dyDescent="0.3">
      <c r="A361" s="101">
        <v>43045</v>
      </c>
      <c r="B361" t="s">
        <v>13</v>
      </c>
      <c r="C361">
        <v>136</v>
      </c>
    </row>
    <row r="362" spans="1:3" x14ac:dyDescent="0.3">
      <c r="A362" s="101">
        <v>43044</v>
      </c>
      <c r="B362" t="s">
        <v>13</v>
      </c>
      <c r="C362">
        <v>156</v>
      </c>
    </row>
    <row r="363" spans="1:3" x14ac:dyDescent="0.3">
      <c r="A363" s="101">
        <v>43045</v>
      </c>
      <c r="B363" t="s">
        <v>7</v>
      </c>
      <c r="C363">
        <v>87</v>
      </c>
    </row>
    <row r="364" spans="1:3" x14ac:dyDescent="0.3">
      <c r="A364" s="101">
        <v>43040</v>
      </c>
      <c r="B364" t="s">
        <v>5</v>
      </c>
      <c r="C364">
        <v>174</v>
      </c>
    </row>
    <row r="365" spans="1:3" x14ac:dyDescent="0.3">
      <c r="A365" s="101">
        <v>43040</v>
      </c>
      <c r="B365" t="s">
        <v>7</v>
      </c>
      <c r="C365">
        <v>188</v>
      </c>
    </row>
    <row r="366" spans="1:3" x14ac:dyDescent="0.3">
      <c r="A366" s="101">
        <v>43046</v>
      </c>
      <c r="B366" t="s">
        <v>8</v>
      </c>
      <c r="C366">
        <v>189</v>
      </c>
    </row>
    <row r="367" spans="1:3" x14ac:dyDescent="0.3">
      <c r="A367" s="101">
        <v>43040</v>
      </c>
      <c r="B367" t="s">
        <v>13</v>
      </c>
      <c r="C367">
        <v>154</v>
      </c>
    </row>
    <row r="368" spans="1:3" x14ac:dyDescent="0.3">
      <c r="A368" s="101">
        <v>43040</v>
      </c>
      <c r="B368" t="s">
        <v>8</v>
      </c>
      <c r="C368">
        <v>48</v>
      </c>
    </row>
    <row r="369" spans="1:3" x14ac:dyDescent="0.3">
      <c r="A369" s="101">
        <v>43041</v>
      </c>
      <c r="B369" t="s">
        <v>7</v>
      </c>
      <c r="C369">
        <v>61</v>
      </c>
    </row>
    <row r="370" spans="1:3" x14ac:dyDescent="0.3">
      <c r="A370" s="101">
        <v>43043</v>
      </c>
      <c r="B370" t="s">
        <v>7</v>
      </c>
      <c r="C370">
        <v>73</v>
      </c>
    </row>
    <row r="371" spans="1:3" x14ac:dyDescent="0.3">
      <c r="A371" s="101">
        <v>43045</v>
      </c>
      <c r="B371" t="s">
        <v>5</v>
      </c>
      <c r="C371">
        <v>122</v>
      </c>
    </row>
    <row r="372" spans="1:3" x14ac:dyDescent="0.3">
      <c r="A372" s="101">
        <v>43045</v>
      </c>
      <c r="B372" t="s">
        <v>7</v>
      </c>
      <c r="C372">
        <v>67</v>
      </c>
    </row>
    <row r="373" spans="1:3" x14ac:dyDescent="0.3">
      <c r="A373" s="101">
        <v>43041</v>
      </c>
      <c r="B373" t="s">
        <v>7</v>
      </c>
      <c r="C373">
        <v>190</v>
      </c>
    </row>
    <row r="374" spans="1:3" x14ac:dyDescent="0.3">
      <c r="A374" s="101">
        <v>43047</v>
      </c>
      <c r="B374" t="s">
        <v>8</v>
      </c>
      <c r="C374">
        <v>154</v>
      </c>
    </row>
    <row r="375" spans="1:3" x14ac:dyDescent="0.3">
      <c r="A375" s="101">
        <v>43044</v>
      </c>
      <c r="B375" t="s">
        <v>13</v>
      </c>
      <c r="C375">
        <v>177</v>
      </c>
    </row>
    <row r="376" spans="1:3" x14ac:dyDescent="0.3">
      <c r="A376" s="101">
        <v>43046</v>
      </c>
      <c r="B376" t="s">
        <v>13</v>
      </c>
      <c r="C376">
        <v>48</v>
      </c>
    </row>
    <row r="377" spans="1:3" x14ac:dyDescent="0.3">
      <c r="A377" s="101">
        <v>43043</v>
      </c>
      <c r="B377" t="s">
        <v>7</v>
      </c>
      <c r="C377">
        <v>83</v>
      </c>
    </row>
    <row r="378" spans="1:3" x14ac:dyDescent="0.3">
      <c r="A378" s="101">
        <v>43043</v>
      </c>
      <c r="B378" t="s">
        <v>8</v>
      </c>
      <c r="C378">
        <v>116</v>
      </c>
    </row>
    <row r="379" spans="1:3" x14ac:dyDescent="0.3">
      <c r="A379" s="101">
        <v>43043</v>
      </c>
      <c r="B379" t="s">
        <v>5</v>
      </c>
      <c r="C379">
        <v>20</v>
      </c>
    </row>
    <row r="380" spans="1:3" x14ac:dyDescent="0.3">
      <c r="A380" s="101">
        <v>43042</v>
      </c>
      <c r="B380" t="s">
        <v>5</v>
      </c>
      <c r="C380">
        <v>146</v>
      </c>
    </row>
    <row r="381" spans="1:3" x14ac:dyDescent="0.3">
      <c r="A381" s="101">
        <v>43041</v>
      </c>
      <c r="B381" t="s">
        <v>5</v>
      </c>
      <c r="C381">
        <v>176</v>
      </c>
    </row>
    <row r="382" spans="1:3" x14ac:dyDescent="0.3">
      <c r="A382" s="101">
        <v>43040</v>
      </c>
      <c r="B382" t="s">
        <v>7</v>
      </c>
      <c r="C382">
        <v>40</v>
      </c>
    </row>
    <row r="383" spans="1:3" x14ac:dyDescent="0.3">
      <c r="A383" s="101">
        <v>43043</v>
      </c>
      <c r="B383" t="s">
        <v>8</v>
      </c>
      <c r="C383">
        <v>29</v>
      </c>
    </row>
    <row r="384" spans="1:3" x14ac:dyDescent="0.3">
      <c r="A384" s="101">
        <v>43044</v>
      </c>
      <c r="B384" t="s">
        <v>7</v>
      </c>
      <c r="C384">
        <v>65</v>
      </c>
    </row>
    <row r="385" spans="1:3" x14ac:dyDescent="0.3">
      <c r="A385" s="101">
        <v>43045</v>
      </c>
      <c r="B385" t="s">
        <v>5</v>
      </c>
      <c r="C385">
        <v>21</v>
      </c>
    </row>
    <row r="386" spans="1:3" x14ac:dyDescent="0.3">
      <c r="A386" s="101">
        <v>43043</v>
      </c>
      <c r="B386" t="s">
        <v>5</v>
      </c>
      <c r="C386">
        <v>64</v>
      </c>
    </row>
    <row r="387" spans="1:3" x14ac:dyDescent="0.3">
      <c r="A387" s="101">
        <v>43040</v>
      </c>
      <c r="B387" t="s">
        <v>8</v>
      </c>
      <c r="C387">
        <v>137</v>
      </c>
    </row>
    <row r="388" spans="1:3" x14ac:dyDescent="0.3">
      <c r="A388" s="101">
        <v>43045</v>
      </c>
      <c r="B388" t="s">
        <v>8</v>
      </c>
      <c r="C388">
        <v>46</v>
      </c>
    </row>
    <row r="389" spans="1:3" x14ac:dyDescent="0.3">
      <c r="A389" s="101">
        <v>43046</v>
      </c>
      <c r="B389" t="s">
        <v>5</v>
      </c>
      <c r="C389">
        <v>176</v>
      </c>
    </row>
    <row r="390" spans="1:3" x14ac:dyDescent="0.3">
      <c r="A390" s="101">
        <v>43042</v>
      </c>
      <c r="B390" t="s">
        <v>13</v>
      </c>
      <c r="C390">
        <v>58</v>
      </c>
    </row>
    <row r="391" spans="1:3" x14ac:dyDescent="0.3">
      <c r="A391" s="101">
        <v>43040</v>
      </c>
      <c r="B391" t="s">
        <v>13</v>
      </c>
      <c r="C391">
        <v>42</v>
      </c>
    </row>
    <row r="392" spans="1:3" x14ac:dyDescent="0.3">
      <c r="A392" s="101">
        <v>43043</v>
      </c>
      <c r="B392" t="s">
        <v>13</v>
      </c>
      <c r="C392">
        <v>160</v>
      </c>
    </row>
    <row r="393" spans="1:3" x14ac:dyDescent="0.3">
      <c r="A393" s="101">
        <v>43045</v>
      </c>
      <c r="B393" t="s">
        <v>8</v>
      </c>
      <c r="C393">
        <v>105</v>
      </c>
    </row>
    <row r="394" spans="1:3" x14ac:dyDescent="0.3">
      <c r="A394" s="101">
        <v>43042</v>
      </c>
      <c r="B394" t="s">
        <v>5</v>
      </c>
      <c r="C394">
        <v>139</v>
      </c>
    </row>
    <row r="395" spans="1:3" x14ac:dyDescent="0.3">
      <c r="A395" s="101">
        <v>43042</v>
      </c>
      <c r="B395" t="s">
        <v>8</v>
      </c>
      <c r="C395">
        <v>133</v>
      </c>
    </row>
    <row r="396" spans="1:3" x14ac:dyDescent="0.3">
      <c r="A396" s="101">
        <v>43040</v>
      </c>
      <c r="B396" t="s">
        <v>8</v>
      </c>
      <c r="C396">
        <v>21</v>
      </c>
    </row>
    <row r="397" spans="1:3" x14ac:dyDescent="0.3">
      <c r="A397" s="101">
        <v>43047</v>
      </c>
      <c r="B397" t="s">
        <v>8</v>
      </c>
      <c r="C397">
        <v>58</v>
      </c>
    </row>
    <row r="398" spans="1:3" x14ac:dyDescent="0.3">
      <c r="A398" s="101">
        <v>43045</v>
      </c>
      <c r="B398" t="s">
        <v>13</v>
      </c>
      <c r="C398">
        <v>81</v>
      </c>
    </row>
    <row r="399" spans="1:3" x14ac:dyDescent="0.3">
      <c r="A399" s="101">
        <v>43040</v>
      </c>
      <c r="B399" t="s">
        <v>13</v>
      </c>
      <c r="C399">
        <v>11</v>
      </c>
    </row>
    <row r="400" spans="1:3" x14ac:dyDescent="0.3">
      <c r="A400" s="101">
        <v>43045</v>
      </c>
      <c r="B400" t="s">
        <v>5</v>
      </c>
      <c r="C400">
        <v>132</v>
      </c>
    </row>
    <row r="401" spans="1:3" x14ac:dyDescent="0.3">
      <c r="A401" s="101">
        <v>43043</v>
      </c>
      <c r="B401" t="s">
        <v>13</v>
      </c>
      <c r="C401">
        <v>159</v>
      </c>
    </row>
    <row r="402" spans="1:3" x14ac:dyDescent="0.3">
      <c r="A402" s="101">
        <v>43042</v>
      </c>
      <c r="B402" t="s">
        <v>13</v>
      </c>
      <c r="C402">
        <v>87</v>
      </c>
    </row>
    <row r="403" spans="1:3" x14ac:dyDescent="0.3">
      <c r="A403" s="101">
        <v>43042</v>
      </c>
      <c r="B403" t="s">
        <v>5</v>
      </c>
      <c r="C403">
        <v>79</v>
      </c>
    </row>
    <row r="404" spans="1:3" x14ac:dyDescent="0.3">
      <c r="A404" s="101">
        <v>43047</v>
      </c>
      <c r="B404" t="s">
        <v>7</v>
      </c>
      <c r="C404">
        <v>39</v>
      </c>
    </row>
    <row r="405" spans="1:3" x14ac:dyDescent="0.3">
      <c r="A405" s="101">
        <v>43047</v>
      </c>
      <c r="B405" t="s">
        <v>5</v>
      </c>
      <c r="C405">
        <v>76</v>
      </c>
    </row>
    <row r="406" spans="1:3" x14ac:dyDescent="0.3">
      <c r="A406" s="101">
        <v>43047</v>
      </c>
      <c r="B406" t="s">
        <v>8</v>
      </c>
      <c r="C406">
        <v>147</v>
      </c>
    </row>
    <row r="407" spans="1:3" x14ac:dyDescent="0.3">
      <c r="A407" s="101">
        <v>43043</v>
      </c>
      <c r="B407" t="s">
        <v>5</v>
      </c>
      <c r="C407">
        <v>80</v>
      </c>
    </row>
    <row r="408" spans="1:3" x14ac:dyDescent="0.3">
      <c r="A408" s="101">
        <v>43041</v>
      </c>
      <c r="B408" t="s">
        <v>5</v>
      </c>
      <c r="C408">
        <v>4</v>
      </c>
    </row>
    <row r="409" spans="1:3" x14ac:dyDescent="0.3">
      <c r="A409" s="101">
        <v>43041</v>
      </c>
      <c r="B409" t="s">
        <v>5</v>
      </c>
      <c r="C409">
        <v>33</v>
      </c>
    </row>
    <row r="410" spans="1:3" x14ac:dyDescent="0.3">
      <c r="A410" s="101">
        <v>43040</v>
      </c>
      <c r="B410" t="s">
        <v>7</v>
      </c>
      <c r="C410">
        <v>154</v>
      </c>
    </row>
    <row r="411" spans="1:3" x14ac:dyDescent="0.3">
      <c r="A411" s="101">
        <v>43046</v>
      </c>
      <c r="B411" t="s">
        <v>5</v>
      </c>
      <c r="C411">
        <v>124</v>
      </c>
    </row>
    <row r="412" spans="1:3" x14ac:dyDescent="0.3">
      <c r="A412" s="101">
        <v>43043</v>
      </c>
      <c r="B412" t="s">
        <v>8</v>
      </c>
      <c r="C412">
        <v>48</v>
      </c>
    </row>
    <row r="413" spans="1:3" x14ac:dyDescent="0.3">
      <c r="A413" s="101">
        <v>43043</v>
      </c>
      <c r="B413" t="s">
        <v>5</v>
      </c>
      <c r="C413">
        <v>146</v>
      </c>
    </row>
    <row r="414" spans="1:3" x14ac:dyDescent="0.3">
      <c r="A414" s="101">
        <v>43041</v>
      </c>
      <c r="B414" t="s">
        <v>5</v>
      </c>
      <c r="C414">
        <v>27</v>
      </c>
    </row>
    <row r="415" spans="1:3" x14ac:dyDescent="0.3">
      <c r="A415" s="101">
        <v>43045</v>
      </c>
      <c r="B415" t="s">
        <v>8</v>
      </c>
      <c r="C415">
        <v>128</v>
      </c>
    </row>
    <row r="416" spans="1:3" x14ac:dyDescent="0.3">
      <c r="A416" s="101">
        <v>43043</v>
      </c>
      <c r="B416" t="s">
        <v>13</v>
      </c>
      <c r="C416">
        <v>5</v>
      </c>
    </row>
    <row r="417" spans="1:3" x14ac:dyDescent="0.3">
      <c r="A417" s="101">
        <v>43042</v>
      </c>
      <c r="B417" t="s">
        <v>7</v>
      </c>
      <c r="C417">
        <v>161</v>
      </c>
    </row>
    <row r="418" spans="1:3" x14ac:dyDescent="0.3">
      <c r="A418" s="101">
        <v>43042</v>
      </c>
      <c r="B418" t="s">
        <v>7</v>
      </c>
      <c r="C418">
        <v>121</v>
      </c>
    </row>
    <row r="419" spans="1:3" x14ac:dyDescent="0.3">
      <c r="A419" s="101">
        <v>43043</v>
      </c>
      <c r="B419" t="s">
        <v>5</v>
      </c>
      <c r="C419">
        <v>100</v>
      </c>
    </row>
    <row r="420" spans="1:3" x14ac:dyDescent="0.3">
      <c r="A420" s="101">
        <v>43044</v>
      </c>
      <c r="B420" t="s">
        <v>5</v>
      </c>
      <c r="C420">
        <v>149</v>
      </c>
    </row>
    <row r="421" spans="1:3" x14ac:dyDescent="0.3">
      <c r="A421" s="101">
        <v>43045</v>
      </c>
      <c r="B421" t="s">
        <v>8</v>
      </c>
      <c r="C421">
        <v>42</v>
      </c>
    </row>
    <row r="422" spans="1:3" x14ac:dyDescent="0.3">
      <c r="A422" s="101">
        <v>43040</v>
      </c>
      <c r="B422" t="s">
        <v>8</v>
      </c>
      <c r="C422">
        <v>28</v>
      </c>
    </row>
    <row r="423" spans="1:3" x14ac:dyDescent="0.3">
      <c r="A423" s="101">
        <v>43044</v>
      </c>
      <c r="B423" t="s">
        <v>8</v>
      </c>
      <c r="C423">
        <v>114</v>
      </c>
    </row>
    <row r="424" spans="1:3" x14ac:dyDescent="0.3">
      <c r="A424" s="101">
        <v>43040</v>
      </c>
      <c r="B424" t="s">
        <v>13</v>
      </c>
      <c r="C424">
        <v>14</v>
      </c>
    </row>
    <row r="425" spans="1:3" x14ac:dyDescent="0.3">
      <c r="A425" s="101">
        <v>43045</v>
      </c>
      <c r="B425" t="s">
        <v>13</v>
      </c>
      <c r="C425">
        <v>160</v>
      </c>
    </row>
    <row r="426" spans="1:3" x14ac:dyDescent="0.3">
      <c r="A426" s="101">
        <v>43042</v>
      </c>
      <c r="B426" t="s">
        <v>5</v>
      </c>
      <c r="C426">
        <v>14</v>
      </c>
    </row>
    <row r="427" spans="1:3" x14ac:dyDescent="0.3">
      <c r="A427" s="101">
        <v>43040</v>
      </c>
      <c r="B427" t="s">
        <v>13</v>
      </c>
      <c r="C427">
        <v>12</v>
      </c>
    </row>
    <row r="428" spans="1:3" x14ac:dyDescent="0.3">
      <c r="A428" s="101">
        <v>43043</v>
      </c>
      <c r="B428" t="s">
        <v>8</v>
      </c>
      <c r="C428">
        <v>20</v>
      </c>
    </row>
    <row r="429" spans="1:3" x14ac:dyDescent="0.3">
      <c r="A429" s="101">
        <v>43040</v>
      </c>
      <c r="B429" t="s">
        <v>8</v>
      </c>
      <c r="C429">
        <v>76</v>
      </c>
    </row>
    <row r="430" spans="1:3" x14ac:dyDescent="0.3">
      <c r="A430" s="101">
        <v>43047</v>
      </c>
      <c r="B430" t="s">
        <v>13</v>
      </c>
      <c r="C430">
        <v>112</v>
      </c>
    </row>
    <row r="431" spans="1:3" x14ac:dyDescent="0.3">
      <c r="A431" s="101">
        <v>43041</v>
      </c>
      <c r="B431" t="s">
        <v>5</v>
      </c>
      <c r="C431">
        <v>113</v>
      </c>
    </row>
    <row r="432" spans="1:3" x14ac:dyDescent="0.3">
      <c r="A432" s="101">
        <v>43040</v>
      </c>
      <c r="B432" t="s">
        <v>5</v>
      </c>
      <c r="C432">
        <v>76</v>
      </c>
    </row>
    <row r="433" spans="1:3" x14ac:dyDescent="0.3">
      <c r="A433" s="101">
        <v>43047</v>
      </c>
      <c r="B433" t="s">
        <v>7</v>
      </c>
      <c r="C433">
        <v>163</v>
      </c>
    </row>
    <row r="434" spans="1:3" x14ac:dyDescent="0.3">
      <c r="A434" s="101">
        <v>43041</v>
      </c>
      <c r="B434" t="s">
        <v>7</v>
      </c>
      <c r="C434">
        <v>76</v>
      </c>
    </row>
    <row r="435" spans="1:3" x14ac:dyDescent="0.3">
      <c r="A435" s="101">
        <v>43047</v>
      </c>
      <c r="B435" t="s">
        <v>7</v>
      </c>
      <c r="C435">
        <v>177</v>
      </c>
    </row>
    <row r="436" spans="1:3" x14ac:dyDescent="0.3">
      <c r="A436" s="101">
        <v>43040</v>
      </c>
      <c r="B436" t="s">
        <v>8</v>
      </c>
      <c r="C436">
        <v>41</v>
      </c>
    </row>
    <row r="437" spans="1:3" x14ac:dyDescent="0.3">
      <c r="A437" s="101">
        <v>43045</v>
      </c>
      <c r="B437" t="s">
        <v>5</v>
      </c>
      <c r="C437">
        <v>42</v>
      </c>
    </row>
    <row r="438" spans="1:3" x14ac:dyDescent="0.3">
      <c r="A438" s="101">
        <v>43047</v>
      </c>
      <c r="B438" t="s">
        <v>7</v>
      </c>
      <c r="C438">
        <v>152</v>
      </c>
    </row>
    <row r="439" spans="1:3" x14ac:dyDescent="0.3">
      <c r="A439" s="101">
        <v>43043</v>
      </c>
      <c r="B439" t="s">
        <v>8</v>
      </c>
      <c r="C439">
        <v>90</v>
      </c>
    </row>
    <row r="440" spans="1:3" x14ac:dyDescent="0.3">
      <c r="A440" s="101">
        <v>43047</v>
      </c>
      <c r="B440" t="s">
        <v>13</v>
      </c>
      <c r="C440">
        <v>103</v>
      </c>
    </row>
    <row r="441" spans="1:3" x14ac:dyDescent="0.3">
      <c r="A441" s="101">
        <v>43044</v>
      </c>
      <c r="B441" t="s">
        <v>7</v>
      </c>
      <c r="C441">
        <v>18</v>
      </c>
    </row>
    <row r="442" spans="1:3" x14ac:dyDescent="0.3">
      <c r="A442" s="101">
        <v>43040</v>
      </c>
      <c r="B442" t="s">
        <v>5</v>
      </c>
      <c r="C442">
        <v>185</v>
      </c>
    </row>
    <row r="443" spans="1:3" x14ac:dyDescent="0.3">
      <c r="A443" s="101">
        <v>43040</v>
      </c>
      <c r="B443" t="s">
        <v>13</v>
      </c>
      <c r="C443">
        <v>29</v>
      </c>
    </row>
    <row r="444" spans="1:3" x14ac:dyDescent="0.3">
      <c r="A444" s="101">
        <v>43046</v>
      </c>
      <c r="B444" t="s">
        <v>5</v>
      </c>
      <c r="C444">
        <v>140</v>
      </c>
    </row>
    <row r="445" spans="1:3" x14ac:dyDescent="0.3">
      <c r="A445" s="101">
        <v>43040</v>
      </c>
      <c r="B445" t="s">
        <v>7</v>
      </c>
      <c r="C445">
        <v>177</v>
      </c>
    </row>
    <row r="446" spans="1:3" x14ac:dyDescent="0.3">
      <c r="A446" s="101">
        <v>43043</v>
      </c>
      <c r="B446" t="s">
        <v>13</v>
      </c>
      <c r="C446">
        <v>74</v>
      </c>
    </row>
    <row r="447" spans="1:3" x14ac:dyDescent="0.3">
      <c r="A447" s="101">
        <v>43040</v>
      </c>
      <c r="B447" t="s">
        <v>5</v>
      </c>
      <c r="C447">
        <v>111</v>
      </c>
    </row>
    <row r="448" spans="1:3" x14ac:dyDescent="0.3">
      <c r="A448" s="101">
        <v>43047</v>
      </c>
      <c r="B448" t="s">
        <v>5</v>
      </c>
      <c r="C448">
        <v>11</v>
      </c>
    </row>
    <row r="449" spans="1:3" x14ac:dyDescent="0.3">
      <c r="A449" s="101">
        <v>43040</v>
      </c>
      <c r="B449" t="s">
        <v>13</v>
      </c>
      <c r="C449">
        <v>28</v>
      </c>
    </row>
    <row r="450" spans="1:3" x14ac:dyDescent="0.3">
      <c r="A450" s="101">
        <v>43040</v>
      </c>
      <c r="B450" t="s">
        <v>7</v>
      </c>
      <c r="C450">
        <v>80</v>
      </c>
    </row>
    <row r="451" spans="1:3" x14ac:dyDescent="0.3">
      <c r="A451" s="101">
        <v>43040</v>
      </c>
      <c r="B451" t="s">
        <v>5</v>
      </c>
      <c r="C451">
        <v>18</v>
      </c>
    </row>
    <row r="452" spans="1:3" x14ac:dyDescent="0.3">
      <c r="A452" s="101">
        <v>43046</v>
      </c>
      <c r="B452" t="s">
        <v>7</v>
      </c>
      <c r="C452">
        <v>28</v>
      </c>
    </row>
    <row r="453" spans="1:3" x14ac:dyDescent="0.3">
      <c r="A453" s="101">
        <v>43043</v>
      </c>
      <c r="B453" t="s">
        <v>8</v>
      </c>
      <c r="C453">
        <v>117</v>
      </c>
    </row>
    <row r="454" spans="1:3" x14ac:dyDescent="0.3">
      <c r="A454" s="101">
        <v>43046</v>
      </c>
      <c r="B454" t="s">
        <v>5</v>
      </c>
      <c r="C454">
        <v>145</v>
      </c>
    </row>
    <row r="455" spans="1:3" x14ac:dyDescent="0.3">
      <c r="A455" s="101">
        <v>43040</v>
      </c>
      <c r="B455" t="s">
        <v>5</v>
      </c>
      <c r="C455">
        <v>79</v>
      </c>
    </row>
    <row r="456" spans="1:3" x14ac:dyDescent="0.3">
      <c r="A456" s="101">
        <v>43040</v>
      </c>
      <c r="B456" t="s">
        <v>5</v>
      </c>
      <c r="C456">
        <v>99</v>
      </c>
    </row>
    <row r="457" spans="1:3" x14ac:dyDescent="0.3">
      <c r="A457" s="101">
        <v>43044</v>
      </c>
      <c r="B457" t="s">
        <v>8</v>
      </c>
      <c r="C457">
        <v>22</v>
      </c>
    </row>
    <row r="458" spans="1:3" x14ac:dyDescent="0.3">
      <c r="A458" s="101">
        <v>43047</v>
      </c>
      <c r="B458" t="s">
        <v>8</v>
      </c>
      <c r="C458">
        <v>63</v>
      </c>
    </row>
    <row r="459" spans="1:3" x14ac:dyDescent="0.3">
      <c r="A459" s="101">
        <v>43040</v>
      </c>
      <c r="B459" t="s">
        <v>13</v>
      </c>
      <c r="C459">
        <v>123</v>
      </c>
    </row>
    <row r="460" spans="1:3" x14ac:dyDescent="0.3">
      <c r="A460" s="101">
        <v>43046</v>
      </c>
      <c r="B460" t="s">
        <v>13</v>
      </c>
      <c r="C460">
        <v>48</v>
      </c>
    </row>
    <row r="461" spans="1:3" x14ac:dyDescent="0.3">
      <c r="A461" s="101">
        <v>43040</v>
      </c>
      <c r="B461" t="s">
        <v>5</v>
      </c>
      <c r="C461">
        <v>147</v>
      </c>
    </row>
    <row r="462" spans="1:3" x14ac:dyDescent="0.3">
      <c r="A462" s="101">
        <v>43045</v>
      </c>
      <c r="B462" t="s">
        <v>7</v>
      </c>
      <c r="C462">
        <v>136</v>
      </c>
    </row>
    <row r="463" spans="1:3" x14ac:dyDescent="0.3">
      <c r="A463" s="101">
        <v>43040</v>
      </c>
      <c r="B463" t="s">
        <v>13</v>
      </c>
      <c r="C463">
        <v>179</v>
      </c>
    </row>
    <row r="464" spans="1:3" x14ac:dyDescent="0.3">
      <c r="A464" s="101">
        <v>43040</v>
      </c>
      <c r="B464" t="s">
        <v>5</v>
      </c>
      <c r="C464">
        <v>85</v>
      </c>
    </row>
    <row r="465" spans="1:3" x14ac:dyDescent="0.3">
      <c r="A465" s="101">
        <v>43044</v>
      </c>
      <c r="B465" t="s">
        <v>7</v>
      </c>
      <c r="C465">
        <v>46</v>
      </c>
    </row>
    <row r="466" spans="1:3" x14ac:dyDescent="0.3">
      <c r="A466" s="101">
        <v>43041</v>
      </c>
      <c r="B466" t="s">
        <v>7</v>
      </c>
      <c r="C466">
        <v>85</v>
      </c>
    </row>
    <row r="467" spans="1:3" x14ac:dyDescent="0.3">
      <c r="A467" s="101">
        <v>43047</v>
      </c>
      <c r="B467" t="s">
        <v>7</v>
      </c>
      <c r="C467">
        <v>97</v>
      </c>
    </row>
    <row r="468" spans="1:3" x14ac:dyDescent="0.3">
      <c r="A468" s="101">
        <v>43047</v>
      </c>
      <c r="B468" t="s">
        <v>5</v>
      </c>
      <c r="C468">
        <v>60</v>
      </c>
    </row>
    <row r="469" spans="1:3" x14ac:dyDescent="0.3">
      <c r="A469" s="101">
        <v>43041</v>
      </c>
      <c r="B469" t="s">
        <v>13</v>
      </c>
      <c r="C469">
        <v>63</v>
      </c>
    </row>
    <row r="470" spans="1:3" x14ac:dyDescent="0.3">
      <c r="A470" s="101">
        <v>43042</v>
      </c>
      <c r="B470" t="s">
        <v>13</v>
      </c>
      <c r="C470">
        <v>74</v>
      </c>
    </row>
    <row r="471" spans="1:3" x14ac:dyDescent="0.3">
      <c r="A471" s="101">
        <v>43045</v>
      </c>
      <c r="B471" t="s">
        <v>5</v>
      </c>
      <c r="C471">
        <v>171</v>
      </c>
    </row>
    <row r="472" spans="1:3" x14ac:dyDescent="0.3">
      <c r="A472" s="101">
        <v>43040</v>
      </c>
      <c r="B472" t="s">
        <v>5</v>
      </c>
      <c r="C472">
        <v>73</v>
      </c>
    </row>
    <row r="473" spans="1:3" x14ac:dyDescent="0.3">
      <c r="A473" s="101">
        <v>43046</v>
      </c>
      <c r="B473" t="s">
        <v>13</v>
      </c>
      <c r="C473">
        <v>85</v>
      </c>
    </row>
    <row r="474" spans="1:3" x14ac:dyDescent="0.3">
      <c r="A474" s="101">
        <v>43047</v>
      </c>
      <c r="B474" t="s">
        <v>13</v>
      </c>
      <c r="C474">
        <v>35</v>
      </c>
    </row>
    <row r="475" spans="1:3" x14ac:dyDescent="0.3">
      <c r="A475" s="101">
        <v>43045</v>
      </c>
      <c r="B475" t="s">
        <v>8</v>
      </c>
      <c r="C475">
        <v>89</v>
      </c>
    </row>
    <row r="476" spans="1:3" x14ac:dyDescent="0.3">
      <c r="A476" s="101">
        <v>43040</v>
      </c>
      <c r="B476" t="s">
        <v>8</v>
      </c>
      <c r="C476">
        <v>95</v>
      </c>
    </row>
    <row r="477" spans="1:3" x14ac:dyDescent="0.3">
      <c r="A477" s="101">
        <v>43047</v>
      </c>
      <c r="B477" t="s">
        <v>7</v>
      </c>
      <c r="C477">
        <v>125</v>
      </c>
    </row>
    <row r="478" spans="1:3" x14ac:dyDescent="0.3">
      <c r="A478" s="101">
        <v>43046</v>
      </c>
      <c r="B478" t="s">
        <v>5</v>
      </c>
      <c r="C478">
        <v>78</v>
      </c>
    </row>
    <row r="479" spans="1:3" x14ac:dyDescent="0.3">
      <c r="A479" s="101">
        <v>43046</v>
      </c>
      <c r="B479" t="s">
        <v>5</v>
      </c>
      <c r="C479">
        <v>187</v>
      </c>
    </row>
    <row r="480" spans="1:3" x14ac:dyDescent="0.3">
      <c r="A480" s="101">
        <v>43044</v>
      </c>
      <c r="B480" t="s">
        <v>7</v>
      </c>
      <c r="C480">
        <v>33</v>
      </c>
    </row>
    <row r="481" spans="1:3" x14ac:dyDescent="0.3">
      <c r="A481" s="101">
        <v>43042</v>
      </c>
      <c r="B481" t="s">
        <v>7</v>
      </c>
      <c r="C481">
        <v>104</v>
      </c>
    </row>
    <row r="482" spans="1:3" x14ac:dyDescent="0.3">
      <c r="A482" s="101">
        <v>43042</v>
      </c>
      <c r="B482" t="s">
        <v>7</v>
      </c>
      <c r="C482">
        <v>25</v>
      </c>
    </row>
    <row r="483" spans="1:3" x14ac:dyDescent="0.3">
      <c r="A483" s="101">
        <v>43044</v>
      </c>
      <c r="B483" t="s">
        <v>5</v>
      </c>
      <c r="C483">
        <v>166</v>
      </c>
    </row>
    <row r="484" spans="1:3" x14ac:dyDescent="0.3">
      <c r="A484" s="101">
        <v>43041</v>
      </c>
      <c r="B484" t="s">
        <v>7</v>
      </c>
      <c r="C484">
        <v>58</v>
      </c>
    </row>
    <row r="485" spans="1:3" x14ac:dyDescent="0.3">
      <c r="A485" s="101">
        <v>43043</v>
      </c>
      <c r="B485" t="s">
        <v>5</v>
      </c>
      <c r="C485">
        <v>94</v>
      </c>
    </row>
    <row r="486" spans="1:3" x14ac:dyDescent="0.3">
      <c r="A486" s="101">
        <v>43044</v>
      </c>
      <c r="B486" t="s">
        <v>7</v>
      </c>
      <c r="C486">
        <v>49</v>
      </c>
    </row>
    <row r="487" spans="1:3" x14ac:dyDescent="0.3">
      <c r="A487" s="101">
        <v>43041</v>
      </c>
      <c r="B487" t="s">
        <v>7</v>
      </c>
      <c r="C487">
        <v>92</v>
      </c>
    </row>
    <row r="488" spans="1:3" x14ac:dyDescent="0.3">
      <c r="A488" s="101">
        <v>43045</v>
      </c>
      <c r="B488" t="s">
        <v>5</v>
      </c>
      <c r="C488">
        <v>71</v>
      </c>
    </row>
    <row r="489" spans="1:3" x14ac:dyDescent="0.3">
      <c r="A489" s="101">
        <v>43041</v>
      </c>
      <c r="B489" t="s">
        <v>13</v>
      </c>
      <c r="C489">
        <v>27</v>
      </c>
    </row>
    <row r="490" spans="1:3" x14ac:dyDescent="0.3">
      <c r="A490" s="101">
        <v>43046</v>
      </c>
      <c r="B490" t="s">
        <v>5</v>
      </c>
      <c r="C490">
        <v>5</v>
      </c>
    </row>
    <row r="491" spans="1:3" x14ac:dyDescent="0.3">
      <c r="A491" s="101">
        <v>43043</v>
      </c>
      <c r="B491" t="s">
        <v>7</v>
      </c>
      <c r="C491">
        <v>190</v>
      </c>
    </row>
    <row r="492" spans="1:3" x14ac:dyDescent="0.3">
      <c r="A492" s="101">
        <v>43043</v>
      </c>
      <c r="B492" t="s">
        <v>5</v>
      </c>
      <c r="C492">
        <v>146</v>
      </c>
    </row>
    <row r="493" spans="1:3" x14ac:dyDescent="0.3">
      <c r="A493" s="101">
        <v>43046</v>
      </c>
      <c r="B493" t="s">
        <v>8</v>
      </c>
      <c r="C493">
        <v>183</v>
      </c>
    </row>
    <row r="494" spans="1:3" x14ac:dyDescent="0.3">
      <c r="A494" s="101">
        <v>43043</v>
      </c>
      <c r="B494" t="s">
        <v>5</v>
      </c>
      <c r="C494">
        <v>163</v>
      </c>
    </row>
    <row r="495" spans="1:3" x14ac:dyDescent="0.3">
      <c r="A495" s="101">
        <v>43046</v>
      </c>
      <c r="B495" t="s">
        <v>8</v>
      </c>
      <c r="C495">
        <v>138</v>
      </c>
    </row>
    <row r="496" spans="1:3" x14ac:dyDescent="0.3">
      <c r="A496" s="101">
        <v>43045</v>
      </c>
      <c r="B496" t="s">
        <v>8</v>
      </c>
      <c r="C496">
        <v>151</v>
      </c>
    </row>
    <row r="497" spans="1:3" x14ac:dyDescent="0.3">
      <c r="A497" s="101">
        <v>43040</v>
      </c>
      <c r="B497" t="s">
        <v>13</v>
      </c>
      <c r="C497">
        <v>110</v>
      </c>
    </row>
    <row r="498" spans="1:3" x14ac:dyDescent="0.3">
      <c r="A498" s="101">
        <v>43046</v>
      </c>
      <c r="B498" t="s">
        <v>7</v>
      </c>
      <c r="C498">
        <v>95</v>
      </c>
    </row>
    <row r="499" spans="1:3" x14ac:dyDescent="0.3">
      <c r="A499" s="101">
        <v>43042</v>
      </c>
      <c r="B499" t="s">
        <v>8</v>
      </c>
      <c r="C499">
        <v>89</v>
      </c>
    </row>
    <row r="500" spans="1:3" x14ac:dyDescent="0.3">
      <c r="A500" s="101">
        <v>43040</v>
      </c>
      <c r="B500" t="s">
        <v>5</v>
      </c>
      <c r="C500">
        <v>181</v>
      </c>
    </row>
    <row r="501" spans="1:3" x14ac:dyDescent="0.3">
      <c r="A501" s="101">
        <v>43047</v>
      </c>
      <c r="B501" t="s">
        <v>7</v>
      </c>
      <c r="C501">
        <v>106</v>
      </c>
    </row>
    <row r="502" spans="1:3" x14ac:dyDescent="0.3">
      <c r="A502" s="101">
        <v>43042</v>
      </c>
      <c r="B502" t="s">
        <v>8</v>
      </c>
      <c r="C502">
        <v>97</v>
      </c>
    </row>
    <row r="503" spans="1:3" x14ac:dyDescent="0.3">
      <c r="A503" s="101">
        <v>43041</v>
      </c>
      <c r="B503" t="s">
        <v>5</v>
      </c>
      <c r="C503">
        <v>62</v>
      </c>
    </row>
    <row r="504" spans="1:3" x14ac:dyDescent="0.3">
      <c r="A504" s="101">
        <v>43047</v>
      </c>
      <c r="B504" t="s">
        <v>7</v>
      </c>
      <c r="C504">
        <v>124</v>
      </c>
    </row>
    <row r="505" spans="1:3" x14ac:dyDescent="0.3">
      <c r="A505" s="101">
        <v>43045</v>
      </c>
      <c r="B505" t="s">
        <v>8</v>
      </c>
      <c r="C505">
        <v>134</v>
      </c>
    </row>
    <row r="506" spans="1:3" x14ac:dyDescent="0.3">
      <c r="A506" s="101">
        <v>43046</v>
      </c>
      <c r="B506" t="s">
        <v>5</v>
      </c>
      <c r="C506">
        <v>175</v>
      </c>
    </row>
    <row r="507" spans="1:3" x14ac:dyDescent="0.3">
      <c r="A507" s="101">
        <v>43045</v>
      </c>
      <c r="B507" t="s">
        <v>8</v>
      </c>
      <c r="C507">
        <v>112</v>
      </c>
    </row>
    <row r="508" spans="1:3" x14ac:dyDescent="0.3">
      <c r="A508" s="101">
        <v>43042</v>
      </c>
      <c r="B508" t="s">
        <v>5</v>
      </c>
      <c r="C508">
        <v>15</v>
      </c>
    </row>
    <row r="509" spans="1:3" x14ac:dyDescent="0.3">
      <c r="A509" s="101">
        <v>43046</v>
      </c>
      <c r="B509" t="s">
        <v>8</v>
      </c>
      <c r="C509">
        <v>54</v>
      </c>
    </row>
    <row r="510" spans="1:3" x14ac:dyDescent="0.3">
      <c r="A510" s="101">
        <v>43043</v>
      </c>
      <c r="B510" t="s">
        <v>8</v>
      </c>
      <c r="C510">
        <v>138</v>
      </c>
    </row>
    <row r="511" spans="1:3" x14ac:dyDescent="0.3">
      <c r="A511" s="101">
        <v>43044</v>
      </c>
      <c r="B511" t="s">
        <v>8</v>
      </c>
      <c r="C511">
        <v>87</v>
      </c>
    </row>
    <row r="512" spans="1:3" x14ac:dyDescent="0.3">
      <c r="A512" s="101">
        <v>43045</v>
      </c>
      <c r="B512" t="s">
        <v>13</v>
      </c>
      <c r="C512">
        <v>13</v>
      </c>
    </row>
    <row r="513" spans="1:3" x14ac:dyDescent="0.3">
      <c r="A513" s="101">
        <v>43047</v>
      </c>
      <c r="B513" t="s">
        <v>5</v>
      </c>
      <c r="C513">
        <v>79</v>
      </c>
    </row>
    <row r="514" spans="1:3" x14ac:dyDescent="0.3">
      <c r="A514" s="101">
        <v>43047</v>
      </c>
      <c r="B514" t="s">
        <v>13</v>
      </c>
      <c r="C514">
        <v>60</v>
      </c>
    </row>
    <row r="515" spans="1:3" x14ac:dyDescent="0.3">
      <c r="A515" s="101">
        <v>43042</v>
      </c>
      <c r="B515" t="s">
        <v>13</v>
      </c>
      <c r="C515">
        <v>65</v>
      </c>
    </row>
    <row r="516" spans="1:3" x14ac:dyDescent="0.3">
      <c r="A516" s="101">
        <v>43042</v>
      </c>
      <c r="B516" t="s">
        <v>7</v>
      </c>
      <c r="C516">
        <v>85</v>
      </c>
    </row>
    <row r="517" spans="1:3" x14ac:dyDescent="0.3">
      <c r="A517" s="101">
        <v>43044</v>
      </c>
      <c r="B517" t="s">
        <v>13</v>
      </c>
      <c r="C517">
        <v>41</v>
      </c>
    </row>
    <row r="518" spans="1:3" x14ac:dyDescent="0.3">
      <c r="A518" s="101">
        <v>43044</v>
      </c>
      <c r="B518" t="s">
        <v>7</v>
      </c>
      <c r="C518">
        <v>7</v>
      </c>
    </row>
    <row r="519" spans="1:3" x14ac:dyDescent="0.3">
      <c r="A519" s="101">
        <v>43043</v>
      </c>
      <c r="B519" t="s">
        <v>13</v>
      </c>
      <c r="C519">
        <v>14</v>
      </c>
    </row>
    <row r="520" spans="1:3" x14ac:dyDescent="0.3">
      <c r="A520" s="101">
        <v>43042</v>
      </c>
      <c r="B520" t="s">
        <v>5</v>
      </c>
      <c r="C520">
        <v>156</v>
      </c>
    </row>
    <row r="521" spans="1:3" x14ac:dyDescent="0.3">
      <c r="A521" s="101">
        <v>43040</v>
      </c>
      <c r="B521" t="s">
        <v>13</v>
      </c>
      <c r="C521">
        <v>98</v>
      </c>
    </row>
    <row r="522" spans="1:3" x14ac:dyDescent="0.3">
      <c r="A522" s="101">
        <v>43047</v>
      </c>
      <c r="B522" t="s">
        <v>7</v>
      </c>
      <c r="C522">
        <v>4</v>
      </c>
    </row>
    <row r="523" spans="1:3" x14ac:dyDescent="0.3">
      <c r="A523" s="101">
        <v>43044</v>
      </c>
      <c r="B523" t="s">
        <v>8</v>
      </c>
      <c r="C523">
        <v>52</v>
      </c>
    </row>
    <row r="524" spans="1:3" x14ac:dyDescent="0.3">
      <c r="A524" s="101">
        <v>43042</v>
      </c>
      <c r="B524" t="s">
        <v>13</v>
      </c>
      <c r="C524">
        <v>35</v>
      </c>
    </row>
    <row r="525" spans="1:3" x14ac:dyDescent="0.3">
      <c r="A525" s="101">
        <v>43046</v>
      </c>
      <c r="B525" t="s">
        <v>8</v>
      </c>
      <c r="C525">
        <v>101</v>
      </c>
    </row>
    <row r="526" spans="1:3" x14ac:dyDescent="0.3">
      <c r="A526" s="101">
        <v>43041</v>
      </c>
      <c r="B526" t="s">
        <v>13</v>
      </c>
      <c r="C526">
        <v>177</v>
      </c>
    </row>
    <row r="527" spans="1:3" x14ac:dyDescent="0.3">
      <c r="A527" s="101">
        <v>43043</v>
      </c>
      <c r="B527" t="s">
        <v>13</v>
      </c>
      <c r="C527">
        <v>158</v>
      </c>
    </row>
    <row r="528" spans="1:3" x14ac:dyDescent="0.3">
      <c r="A528" s="101">
        <v>43045</v>
      </c>
      <c r="B528" t="s">
        <v>8</v>
      </c>
      <c r="C528">
        <v>183</v>
      </c>
    </row>
    <row r="529" spans="1:3" x14ac:dyDescent="0.3">
      <c r="A529" s="101">
        <v>43041</v>
      </c>
      <c r="B529" t="s">
        <v>13</v>
      </c>
      <c r="C529">
        <v>185</v>
      </c>
    </row>
    <row r="530" spans="1:3" x14ac:dyDescent="0.3">
      <c r="A530" s="101">
        <v>43046</v>
      </c>
      <c r="B530" t="s">
        <v>7</v>
      </c>
      <c r="C530">
        <v>87</v>
      </c>
    </row>
    <row r="531" spans="1:3" x14ac:dyDescent="0.3">
      <c r="A531" s="101">
        <v>43046</v>
      </c>
      <c r="B531" t="s">
        <v>13</v>
      </c>
      <c r="C531">
        <v>148</v>
      </c>
    </row>
    <row r="532" spans="1:3" x14ac:dyDescent="0.3">
      <c r="A532" s="101">
        <v>43047</v>
      </c>
      <c r="B532" t="s">
        <v>8</v>
      </c>
      <c r="C532">
        <v>141</v>
      </c>
    </row>
    <row r="533" spans="1:3" x14ac:dyDescent="0.3">
      <c r="A533" s="101">
        <v>43046</v>
      </c>
      <c r="B533" t="s">
        <v>13</v>
      </c>
      <c r="C533">
        <v>159</v>
      </c>
    </row>
    <row r="534" spans="1:3" x14ac:dyDescent="0.3">
      <c r="A534" s="101">
        <v>43040</v>
      </c>
      <c r="B534" t="s">
        <v>5</v>
      </c>
      <c r="C534">
        <v>97</v>
      </c>
    </row>
    <row r="535" spans="1:3" x14ac:dyDescent="0.3">
      <c r="A535" s="101">
        <v>43043</v>
      </c>
      <c r="B535" t="s">
        <v>13</v>
      </c>
      <c r="C535">
        <v>164</v>
      </c>
    </row>
    <row r="536" spans="1:3" x14ac:dyDescent="0.3">
      <c r="A536" s="101">
        <v>43042</v>
      </c>
      <c r="B536" t="s">
        <v>8</v>
      </c>
      <c r="C536">
        <v>174</v>
      </c>
    </row>
    <row r="537" spans="1:3" x14ac:dyDescent="0.3">
      <c r="A537" s="101">
        <v>43046</v>
      </c>
      <c r="B537" t="s">
        <v>13</v>
      </c>
      <c r="C537">
        <v>92</v>
      </c>
    </row>
    <row r="538" spans="1:3" x14ac:dyDescent="0.3">
      <c r="A538" s="101">
        <v>43044</v>
      </c>
      <c r="B538" t="s">
        <v>7</v>
      </c>
      <c r="C538">
        <v>132</v>
      </c>
    </row>
    <row r="539" spans="1:3" x14ac:dyDescent="0.3">
      <c r="A539" s="101">
        <v>43044</v>
      </c>
      <c r="B539" t="s">
        <v>7</v>
      </c>
      <c r="C539">
        <v>140</v>
      </c>
    </row>
    <row r="540" spans="1:3" x14ac:dyDescent="0.3">
      <c r="A540" s="101">
        <v>43045</v>
      </c>
      <c r="B540" t="s">
        <v>7</v>
      </c>
      <c r="C540">
        <v>165</v>
      </c>
    </row>
    <row r="541" spans="1:3" x14ac:dyDescent="0.3">
      <c r="A541" s="101">
        <v>43044</v>
      </c>
      <c r="B541" t="s">
        <v>13</v>
      </c>
      <c r="C541">
        <v>89</v>
      </c>
    </row>
    <row r="542" spans="1:3" x14ac:dyDescent="0.3">
      <c r="A542" s="101">
        <v>43041</v>
      </c>
      <c r="B542" t="s">
        <v>5</v>
      </c>
      <c r="C542">
        <v>95</v>
      </c>
    </row>
    <row r="543" spans="1:3" x14ac:dyDescent="0.3">
      <c r="A543" s="101">
        <v>43045</v>
      </c>
      <c r="B543" t="s">
        <v>13</v>
      </c>
      <c r="C543">
        <v>142</v>
      </c>
    </row>
    <row r="544" spans="1:3" x14ac:dyDescent="0.3">
      <c r="A544" s="101">
        <v>43045</v>
      </c>
      <c r="B544" t="s">
        <v>8</v>
      </c>
      <c r="C544">
        <v>60</v>
      </c>
    </row>
    <row r="545" spans="1:3" x14ac:dyDescent="0.3">
      <c r="A545" s="101">
        <v>43042</v>
      </c>
      <c r="B545" t="s">
        <v>8</v>
      </c>
      <c r="C545">
        <v>60</v>
      </c>
    </row>
    <row r="546" spans="1:3" x14ac:dyDescent="0.3">
      <c r="A546" s="101">
        <v>43042</v>
      </c>
      <c r="B546" t="s">
        <v>13</v>
      </c>
      <c r="C546">
        <v>108</v>
      </c>
    </row>
    <row r="547" spans="1:3" x14ac:dyDescent="0.3">
      <c r="A547" s="101">
        <v>43041</v>
      </c>
      <c r="B547" t="s">
        <v>7</v>
      </c>
      <c r="C547">
        <v>61</v>
      </c>
    </row>
    <row r="548" spans="1:3" x14ac:dyDescent="0.3">
      <c r="A548" s="101">
        <v>43043</v>
      </c>
      <c r="B548" t="s">
        <v>5</v>
      </c>
      <c r="C548">
        <v>132</v>
      </c>
    </row>
    <row r="549" spans="1:3" x14ac:dyDescent="0.3">
      <c r="A549" s="101">
        <v>43045</v>
      </c>
      <c r="B549" t="s">
        <v>7</v>
      </c>
      <c r="C549">
        <v>136</v>
      </c>
    </row>
    <row r="550" spans="1:3" x14ac:dyDescent="0.3">
      <c r="A550" s="101">
        <v>43043</v>
      </c>
      <c r="B550" t="s">
        <v>8</v>
      </c>
      <c r="C550">
        <v>75</v>
      </c>
    </row>
    <row r="551" spans="1:3" x14ac:dyDescent="0.3">
      <c r="A551" s="101">
        <v>43043</v>
      </c>
      <c r="B551" t="s">
        <v>7</v>
      </c>
      <c r="C551">
        <v>14</v>
      </c>
    </row>
    <row r="552" spans="1:3" x14ac:dyDescent="0.3">
      <c r="A552" s="101">
        <v>43040</v>
      </c>
      <c r="B552" t="s">
        <v>8</v>
      </c>
      <c r="C552">
        <v>19</v>
      </c>
    </row>
    <row r="553" spans="1:3" x14ac:dyDescent="0.3">
      <c r="A553" s="101">
        <v>43047</v>
      </c>
      <c r="B553" t="s">
        <v>13</v>
      </c>
      <c r="C553">
        <v>40</v>
      </c>
    </row>
    <row r="554" spans="1:3" x14ac:dyDescent="0.3">
      <c r="A554" s="101">
        <v>43045</v>
      </c>
      <c r="B554" t="s">
        <v>13</v>
      </c>
      <c r="C554">
        <v>54</v>
      </c>
    </row>
    <row r="555" spans="1:3" x14ac:dyDescent="0.3">
      <c r="A555" s="101">
        <v>43041</v>
      </c>
      <c r="B555" t="s">
        <v>13</v>
      </c>
      <c r="C555">
        <v>11</v>
      </c>
    </row>
    <row r="556" spans="1:3" x14ac:dyDescent="0.3">
      <c r="A556" s="101">
        <v>43044</v>
      </c>
      <c r="B556" t="s">
        <v>5</v>
      </c>
      <c r="C556">
        <v>49</v>
      </c>
    </row>
    <row r="557" spans="1:3" x14ac:dyDescent="0.3">
      <c r="A557" s="101">
        <v>43046</v>
      </c>
      <c r="B557" t="s">
        <v>8</v>
      </c>
      <c r="C557">
        <v>146</v>
      </c>
    </row>
    <row r="558" spans="1:3" x14ac:dyDescent="0.3">
      <c r="A558" s="101">
        <v>43045</v>
      </c>
      <c r="B558" t="s">
        <v>13</v>
      </c>
      <c r="C558">
        <v>162</v>
      </c>
    </row>
    <row r="559" spans="1:3" x14ac:dyDescent="0.3">
      <c r="A559" s="101">
        <v>43040</v>
      </c>
      <c r="B559" t="s">
        <v>13</v>
      </c>
      <c r="C559">
        <v>179</v>
      </c>
    </row>
    <row r="560" spans="1:3" x14ac:dyDescent="0.3">
      <c r="A560" s="101">
        <v>43047</v>
      </c>
      <c r="B560" t="s">
        <v>8</v>
      </c>
      <c r="C560">
        <v>88</v>
      </c>
    </row>
    <row r="561" spans="1:3" x14ac:dyDescent="0.3">
      <c r="A561" s="101">
        <v>43040</v>
      </c>
      <c r="B561" t="s">
        <v>8</v>
      </c>
      <c r="C561">
        <v>104</v>
      </c>
    </row>
    <row r="562" spans="1:3" x14ac:dyDescent="0.3">
      <c r="A562" s="101">
        <v>43043</v>
      </c>
      <c r="B562" t="s">
        <v>13</v>
      </c>
      <c r="C562">
        <v>56</v>
      </c>
    </row>
    <row r="563" spans="1:3" x14ac:dyDescent="0.3">
      <c r="A563" s="101">
        <v>43043</v>
      </c>
      <c r="B563" t="s">
        <v>8</v>
      </c>
      <c r="C563">
        <v>179</v>
      </c>
    </row>
    <row r="564" spans="1:3" x14ac:dyDescent="0.3">
      <c r="A564" s="101">
        <v>43045</v>
      </c>
      <c r="B564" t="s">
        <v>13</v>
      </c>
      <c r="C564">
        <v>177</v>
      </c>
    </row>
    <row r="565" spans="1:3" x14ac:dyDescent="0.3">
      <c r="A565" s="101">
        <v>43046</v>
      </c>
      <c r="B565" t="s">
        <v>8</v>
      </c>
      <c r="C565">
        <v>64</v>
      </c>
    </row>
    <row r="566" spans="1:3" x14ac:dyDescent="0.3">
      <c r="A566" s="101">
        <v>43040</v>
      </c>
      <c r="B566" t="s">
        <v>7</v>
      </c>
      <c r="C566">
        <v>172</v>
      </c>
    </row>
    <row r="567" spans="1:3" x14ac:dyDescent="0.3">
      <c r="A567" s="101">
        <v>43044</v>
      </c>
      <c r="B567" t="s">
        <v>13</v>
      </c>
      <c r="C567">
        <v>98</v>
      </c>
    </row>
    <row r="568" spans="1:3" x14ac:dyDescent="0.3">
      <c r="A568" s="101">
        <v>43046</v>
      </c>
      <c r="B568" t="s">
        <v>8</v>
      </c>
      <c r="C568">
        <v>131</v>
      </c>
    </row>
    <row r="569" spans="1:3" x14ac:dyDescent="0.3">
      <c r="A569" s="101">
        <v>43043</v>
      </c>
      <c r="B569" t="s">
        <v>8</v>
      </c>
      <c r="C569">
        <v>73</v>
      </c>
    </row>
    <row r="570" spans="1:3" x14ac:dyDescent="0.3">
      <c r="A570" s="101">
        <v>43044</v>
      </c>
      <c r="B570" t="s">
        <v>7</v>
      </c>
      <c r="C570">
        <v>168</v>
      </c>
    </row>
    <row r="571" spans="1:3" x14ac:dyDescent="0.3">
      <c r="A571" s="101">
        <v>43044</v>
      </c>
      <c r="B571" t="s">
        <v>13</v>
      </c>
      <c r="C571">
        <v>44</v>
      </c>
    </row>
    <row r="572" spans="1:3" x14ac:dyDescent="0.3">
      <c r="A572" s="101">
        <v>43045</v>
      </c>
      <c r="B572" t="s">
        <v>13</v>
      </c>
      <c r="C572">
        <v>163</v>
      </c>
    </row>
    <row r="573" spans="1:3" x14ac:dyDescent="0.3">
      <c r="A573" s="101">
        <v>43043</v>
      </c>
      <c r="B573" t="s">
        <v>13</v>
      </c>
      <c r="C573">
        <v>87</v>
      </c>
    </row>
    <row r="574" spans="1:3" x14ac:dyDescent="0.3">
      <c r="A574" s="101">
        <v>43043</v>
      </c>
      <c r="B574" t="s">
        <v>8</v>
      </c>
      <c r="C574">
        <v>47</v>
      </c>
    </row>
    <row r="575" spans="1:3" x14ac:dyDescent="0.3">
      <c r="A575" s="101">
        <v>43046</v>
      </c>
      <c r="B575" t="s">
        <v>13</v>
      </c>
      <c r="C575">
        <v>131</v>
      </c>
    </row>
    <row r="576" spans="1:3" x14ac:dyDescent="0.3">
      <c r="A576" s="101">
        <v>43045</v>
      </c>
      <c r="B576" t="s">
        <v>13</v>
      </c>
      <c r="C576">
        <v>146</v>
      </c>
    </row>
    <row r="577" spans="1:3" x14ac:dyDescent="0.3">
      <c r="A577" s="101">
        <v>43042</v>
      </c>
      <c r="B577" t="s">
        <v>7</v>
      </c>
      <c r="C577">
        <v>82</v>
      </c>
    </row>
    <row r="578" spans="1:3" x14ac:dyDescent="0.3">
      <c r="A578" s="101">
        <v>43044</v>
      </c>
      <c r="B578" t="s">
        <v>8</v>
      </c>
      <c r="C578">
        <v>129</v>
      </c>
    </row>
    <row r="579" spans="1:3" x14ac:dyDescent="0.3">
      <c r="A579" s="101">
        <v>43045</v>
      </c>
      <c r="B579" t="s">
        <v>5</v>
      </c>
      <c r="C579">
        <v>171</v>
      </c>
    </row>
    <row r="580" spans="1:3" x14ac:dyDescent="0.3">
      <c r="A580" s="101">
        <v>43042</v>
      </c>
      <c r="B580" t="s">
        <v>13</v>
      </c>
      <c r="C580">
        <v>18</v>
      </c>
    </row>
    <row r="581" spans="1:3" x14ac:dyDescent="0.3">
      <c r="A581" s="101">
        <v>43043</v>
      </c>
      <c r="B581" t="s">
        <v>13</v>
      </c>
      <c r="C581">
        <v>54</v>
      </c>
    </row>
    <row r="582" spans="1:3" x14ac:dyDescent="0.3">
      <c r="A582" s="101">
        <v>43043</v>
      </c>
      <c r="B582" t="s">
        <v>8</v>
      </c>
      <c r="C582">
        <v>185</v>
      </c>
    </row>
    <row r="583" spans="1:3" x14ac:dyDescent="0.3">
      <c r="A583" s="101">
        <v>43040</v>
      </c>
      <c r="B583" t="s">
        <v>5</v>
      </c>
      <c r="C583">
        <v>85</v>
      </c>
    </row>
    <row r="584" spans="1:3" x14ac:dyDescent="0.3">
      <c r="A584" s="101">
        <v>43045</v>
      </c>
      <c r="B584" t="s">
        <v>5</v>
      </c>
      <c r="C584">
        <v>106</v>
      </c>
    </row>
    <row r="585" spans="1:3" x14ac:dyDescent="0.3">
      <c r="A585" s="101">
        <v>43047</v>
      </c>
      <c r="B585" t="s">
        <v>7</v>
      </c>
      <c r="C585">
        <v>136</v>
      </c>
    </row>
    <row r="586" spans="1:3" x14ac:dyDescent="0.3">
      <c r="A586" s="101">
        <v>43043</v>
      </c>
      <c r="B586" t="s">
        <v>7</v>
      </c>
      <c r="C586">
        <v>96</v>
      </c>
    </row>
    <row r="587" spans="1:3" x14ac:dyDescent="0.3">
      <c r="A587" s="101">
        <v>43043</v>
      </c>
      <c r="B587" t="s">
        <v>5</v>
      </c>
      <c r="C587">
        <v>45</v>
      </c>
    </row>
    <row r="588" spans="1:3" x14ac:dyDescent="0.3">
      <c r="A588" s="101">
        <v>43044</v>
      </c>
      <c r="B588" t="s">
        <v>13</v>
      </c>
      <c r="C588">
        <v>190</v>
      </c>
    </row>
    <row r="589" spans="1:3" x14ac:dyDescent="0.3">
      <c r="A589" s="101">
        <v>43042</v>
      </c>
      <c r="B589" t="s">
        <v>8</v>
      </c>
      <c r="C589">
        <v>129</v>
      </c>
    </row>
    <row r="590" spans="1:3" x14ac:dyDescent="0.3">
      <c r="A590" s="101">
        <v>43043</v>
      </c>
      <c r="B590" t="s">
        <v>5</v>
      </c>
      <c r="C590">
        <v>140</v>
      </c>
    </row>
    <row r="591" spans="1:3" x14ac:dyDescent="0.3">
      <c r="A591" s="101">
        <v>43047</v>
      </c>
      <c r="B591" t="s">
        <v>8</v>
      </c>
      <c r="C591">
        <v>19</v>
      </c>
    </row>
    <row r="592" spans="1:3" x14ac:dyDescent="0.3">
      <c r="A592" s="101">
        <v>43046</v>
      </c>
      <c r="B592" t="s">
        <v>5</v>
      </c>
      <c r="C592">
        <v>88</v>
      </c>
    </row>
    <row r="593" spans="1:3" x14ac:dyDescent="0.3">
      <c r="A593" s="101">
        <v>43040</v>
      </c>
      <c r="B593" t="s">
        <v>8</v>
      </c>
      <c r="C593">
        <v>132</v>
      </c>
    </row>
    <row r="594" spans="1:3" x14ac:dyDescent="0.3">
      <c r="A594" s="101">
        <v>43040</v>
      </c>
      <c r="B594" t="s">
        <v>7</v>
      </c>
      <c r="C594">
        <v>38</v>
      </c>
    </row>
    <row r="595" spans="1:3" x14ac:dyDescent="0.3">
      <c r="A595" s="101">
        <v>43046</v>
      </c>
      <c r="B595" t="s">
        <v>8</v>
      </c>
      <c r="C595">
        <v>82</v>
      </c>
    </row>
    <row r="596" spans="1:3" x14ac:dyDescent="0.3">
      <c r="A596" s="101">
        <v>43047</v>
      </c>
      <c r="B596" t="s">
        <v>7</v>
      </c>
      <c r="C596">
        <v>101</v>
      </c>
    </row>
    <row r="597" spans="1:3" x14ac:dyDescent="0.3">
      <c r="A597" s="101">
        <v>43046</v>
      </c>
      <c r="B597" t="s">
        <v>13</v>
      </c>
      <c r="C597">
        <v>89</v>
      </c>
    </row>
    <row r="598" spans="1:3" x14ac:dyDescent="0.3">
      <c r="A598" s="101">
        <v>43045</v>
      </c>
      <c r="B598" t="s">
        <v>13</v>
      </c>
      <c r="C598">
        <v>59</v>
      </c>
    </row>
    <row r="599" spans="1:3" x14ac:dyDescent="0.3">
      <c r="A599" s="101">
        <v>43042</v>
      </c>
      <c r="B599" t="s">
        <v>8</v>
      </c>
      <c r="C599">
        <v>135</v>
      </c>
    </row>
    <row r="600" spans="1:3" x14ac:dyDescent="0.3">
      <c r="A600" s="101">
        <v>43046</v>
      </c>
      <c r="B600" t="s">
        <v>7</v>
      </c>
      <c r="C600">
        <v>151</v>
      </c>
    </row>
    <row r="601" spans="1:3" x14ac:dyDescent="0.3">
      <c r="A601" s="101">
        <v>43045</v>
      </c>
      <c r="B601" t="s">
        <v>7</v>
      </c>
      <c r="C601">
        <v>143</v>
      </c>
    </row>
    <row r="602" spans="1:3" x14ac:dyDescent="0.3">
      <c r="A602" s="101">
        <v>43044</v>
      </c>
      <c r="B602" t="s">
        <v>13</v>
      </c>
      <c r="C602">
        <v>50</v>
      </c>
    </row>
    <row r="603" spans="1:3" x14ac:dyDescent="0.3">
      <c r="A603" s="101">
        <v>43043</v>
      </c>
      <c r="B603" t="s">
        <v>7</v>
      </c>
      <c r="C603">
        <v>135</v>
      </c>
    </row>
    <row r="604" spans="1:3" x14ac:dyDescent="0.3">
      <c r="A604" s="101">
        <v>43045</v>
      </c>
      <c r="B604" t="s">
        <v>5</v>
      </c>
      <c r="C604">
        <v>64</v>
      </c>
    </row>
    <row r="605" spans="1:3" x14ac:dyDescent="0.3">
      <c r="A605" s="101">
        <v>43042</v>
      </c>
      <c r="B605" t="s">
        <v>13</v>
      </c>
      <c r="C605">
        <v>188</v>
      </c>
    </row>
    <row r="606" spans="1:3" x14ac:dyDescent="0.3">
      <c r="A606" s="101">
        <v>43045</v>
      </c>
      <c r="B606" t="s">
        <v>5</v>
      </c>
      <c r="C606">
        <v>40</v>
      </c>
    </row>
    <row r="607" spans="1:3" x14ac:dyDescent="0.3">
      <c r="A607" s="101">
        <v>43042</v>
      </c>
      <c r="B607" t="s">
        <v>8</v>
      </c>
      <c r="C607">
        <v>6</v>
      </c>
    </row>
    <row r="608" spans="1:3" x14ac:dyDescent="0.3">
      <c r="A608" s="101">
        <v>43041</v>
      </c>
      <c r="B608" t="s">
        <v>13</v>
      </c>
      <c r="C608">
        <v>18</v>
      </c>
    </row>
    <row r="609" spans="1:3" x14ac:dyDescent="0.3">
      <c r="A609" s="101">
        <v>43045</v>
      </c>
      <c r="B609" t="s">
        <v>5</v>
      </c>
      <c r="C609">
        <v>126</v>
      </c>
    </row>
    <row r="610" spans="1:3" x14ac:dyDescent="0.3">
      <c r="A610" s="101">
        <v>43044</v>
      </c>
      <c r="B610" t="s">
        <v>5</v>
      </c>
      <c r="C610">
        <v>136</v>
      </c>
    </row>
    <row r="611" spans="1:3" x14ac:dyDescent="0.3">
      <c r="A611" s="101">
        <v>43047</v>
      </c>
      <c r="B611" t="s">
        <v>8</v>
      </c>
      <c r="C611">
        <v>101</v>
      </c>
    </row>
    <row r="612" spans="1:3" x14ac:dyDescent="0.3">
      <c r="A612" s="101">
        <v>43042</v>
      </c>
      <c r="B612" t="s">
        <v>5</v>
      </c>
      <c r="C612">
        <v>23</v>
      </c>
    </row>
    <row r="613" spans="1:3" x14ac:dyDescent="0.3">
      <c r="A613" s="101">
        <v>43040</v>
      </c>
      <c r="B613" t="s">
        <v>7</v>
      </c>
      <c r="C613">
        <v>42</v>
      </c>
    </row>
    <row r="614" spans="1:3" x14ac:dyDescent="0.3">
      <c r="A614" s="101">
        <v>43043</v>
      </c>
      <c r="B614" t="s">
        <v>7</v>
      </c>
      <c r="C614">
        <v>98</v>
      </c>
    </row>
    <row r="615" spans="1:3" x14ac:dyDescent="0.3">
      <c r="A615" s="101">
        <v>43040</v>
      </c>
      <c r="B615" t="s">
        <v>5</v>
      </c>
      <c r="C615">
        <v>104</v>
      </c>
    </row>
    <row r="616" spans="1:3" x14ac:dyDescent="0.3">
      <c r="A616" s="101">
        <v>43043</v>
      </c>
      <c r="B616" t="s">
        <v>5</v>
      </c>
      <c r="C616">
        <v>113</v>
      </c>
    </row>
    <row r="617" spans="1:3" x14ac:dyDescent="0.3">
      <c r="A617" s="101">
        <v>43042</v>
      </c>
      <c r="B617" t="s">
        <v>8</v>
      </c>
      <c r="C617">
        <v>48</v>
      </c>
    </row>
    <row r="618" spans="1:3" x14ac:dyDescent="0.3">
      <c r="A618" s="101">
        <v>43047</v>
      </c>
      <c r="B618" t="s">
        <v>13</v>
      </c>
      <c r="C618">
        <v>168</v>
      </c>
    </row>
    <row r="619" spans="1:3" x14ac:dyDescent="0.3">
      <c r="A619" s="101">
        <v>43040</v>
      </c>
      <c r="B619" t="s">
        <v>8</v>
      </c>
      <c r="C619">
        <v>36</v>
      </c>
    </row>
    <row r="620" spans="1:3" x14ac:dyDescent="0.3">
      <c r="A620" s="101">
        <v>43040</v>
      </c>
      <c r="B620" t="s">
        <v>5</v>
      </c>
      <c r="C620">
        <v>122</v>
      </c>
    </row>
    <row r="621" spans="1:3" x14ac:dyDescent="0.3">
      <c r="A621" s="101">
        <v>43041</v>
      </c>
      <c r="B621" t="s">
        <v>5</v>
      </c>
      <c r="C621">
        <v>136</v>
      </c>
    </row>
    <row r="622" spans="1:3" x14ac:dyDescent="0.3">
      <c r="A622" s="101">
        <v>43040</v>
      </c>
      <c r="B622" t="s">
        <v>7</v>
      </c>
      <c r="C622">
        <v>76</v>
      </c>
    </row>
    <row r="623" spans="1:3" x14ac:dyDescent="0.3">
      <c r="A623" s="101">
        <v>43041</v>
      </c>
      <c r="B623" t="s">
        <v>13</v>
      </c>
      <c r="C623">
        <v>161</v>
      </c>
    </row>
    <row r="624" spans="1:3" x14ac:dyDescent="0.3">
      <c r="A624" s="101">
        <v>43043</v>
      </c>
      <c r="B624" t="s">
        <v>7</v>
      </c>
      <c r="C624">
        <v>187</v>
      </c>
    </row>
    <row r="625" spans="1:3" x14ac:dyDescent="0.3">
      <c r="A625" s="101">
        <v>43044</v>
      </c>
      <c r="B625" t="s">
        <v>7</v>
      </c>
      <c r="C625">
        <v>38</v>
      </c>
    </row>
    <row r="626" spans="1:3" x14ac:dyDescent="0.3">
      <c r="A626" s="101">
        <v>43047</v>
      </c>
      <c r="B626" t="s">
        <v>5</v>
      </c>
      <c r="C626">
        <v>5</v>
      </c>
    </row>
    <row r="627" spans="1:3" x14ac:dyDescent="0.3">
      <c r="A627" s="101">
        <v>43045</v>
      </c>
      <c r="B627" t="s">
        <v>13</v>
      </c>
      <c r="C627">
        <v>44</v>
      </c>
    </row>
    <row r="628" spans="1:3" x14ac:dyDescent="0.3">
      <c r="A628" s="101">
        <v>43041</v>
      </c>
      <c r="B628" t="s">
        <v>13</v>
      </c>
      <c r="C628">
        <v>101</v>
      </c>
    </row>
    <row r="629" spans="1:3" x14ac:dyDescent="0.3">
      <c r="A629" s="101">
        <v>43046</v>
      </c>
      <c r="B629" t="s">
        <v>8</v>
      </c>
      <c r="C629">
        <v>129</v>
      </c>
    </row>
    <row r="630" spans="1:3" x14ac:dyDescent="0.3">
      <c r="A630" s="101">
        <v>43045</v>
      </c>
      <c r="B630" t="s">
        <v>7</v>
      </c>
      <c r="C630">
        <v>170</v>
      </c>
    </row>
    <row r="631" spans="1:3" x14ac:dyDescent="0.3">
      <c r="A631" s="101">
        <v>43047</v>
      </c>
      <c r="B631" t="s">
        <v>7</v>
      </c>
      <c r="C631">
        <v>169</v>
      </c>
    </row>
    <row r="632" spans="1:3" x14ac:dyDescent="0.3">
      <c r="A632" s="101">
        <v>43047</v>
      </c>
      <c r="B632" t="s">
        <v>13</v>
      </c>
      <c r="C632">
        <v>173</v>
      </c>
    </row>
    <row r="633" spans="1:3" x14ac:dyDescent="0.3">
      <c r="A633" s="101">
        <v>43044</v>
      </c>
      <c r="B633" t="s">
        <v>7</v>
      </c>
      <c r="C633">
        <v>155</v>
      </c>
    </row>
    <row r="634" spans="1:3" x14ac:dyDescent="0.3">
      <c r="A634" s="101">
        <v>43043</v>
      </c>
      <c r="B634" t="s">
        <v>5</v>
      </c>
      <c r="C634">
        <v>40</v>
      </c>
    </row>
    <row r="635" spans="1:3" x14ac:dyDescent="0.3">
      <c r="A635" s="101">
        <v>43046</v>
      </c>
      <c r="B635" t="s">
        <v>7</v>
      </c>
      <c r="C635">
        <v>14</v>
      </c>
    </row>
    <row r="636" spans="1:3" x14ac:dyDescent="0.3">
      <c r="A636" s="101">
        <v>43042</v>
      </c>
      <c r="B636" t="s">
        <v>8</v>
      </c>
      <c r="C636">
        <v>172</v>
      </c>
    </row>
    <row r="637" spans="1:3" x14ac:dyDescent="0.3">
      <c r="A637" s="101">
        <v>43044</v>
      </c>
      <c r="B637" s="96" t="s">
        <v>5</v>
      </c>
      <c r="C637" s="96">
        <v>139</v>
      </c>
    </row>
    <row r="638" spans="1:3" x14ac:dyDescent="0.3">
      <c r="A638" s="101">
        <v>43043</v>
      </c>
      <c r="B638" s="96" t="s">
        <v>7</v>
      </c>
      <c r="C638" s="96">
        <v>167</v>
      </c>
    </row>
    <row r="639" spans="1:3" x14ac:dyDescent="0.3">
      <c r="A639" s="101">
        <v>43044</v>
      </c>
      <c r="B639" s="96" t="s">
        <v>5</v>
      </c>
      <c r="C639" s="96">
        <v>191</v>
      </c>
    </row>
    <row r="640" spans="1:3" x14ac:dyDescent="0.3">
      <c r="A640" s="101">
        <v>43040</v>
      </c>
      <c r="B640" s="96" t="s">
        <v>13</v>
      </c>
      <c r="C640" s="96">
        <v>84</v>
      </c>
    </row>
    <row r="641" spans="1:3" x14ac:dyDescent="0.3">
      <c r="A641" s="101">
        <v>43043</v>
      </c>
      <c r="B641" s="96" t="s">
        <v>13</v>
      </c>
      <c r="C641" s="96">
        <v>102</v>
      </c>
    </row>
    <row r="642" spans="1:3" x14ac:dyDescent="0.3">
      <c r="A642" s="101">
        <v>43040</v>
      </c>
      <c r="B642" s="96" t="s">
        <v>7</v>
      </c>
      <c r="C642" s="96">
        <v>100</v>
      </c>
    </row>
    <row r="643" spans="1:3" x14ac:dyDescent="0.3">
      <c r="A643" s="101">
        <v>43044</v>
      </c>
      <c r="B643" s="96" t="s">
        <v>13</v>
      </c>
      <c r="C643" s="96">
        <v>107</v>
      </c>
    </row>
    <row r="644" spans="1:3" x14ac:dyDescent="0.3">
      <c r="A644" s="101">
        <v>43044</v>
      </c>
      <c r="B644" s="96" t="s">
        <v>13</v>
      </c>
      <c r="C644" s="96">
        <v>1</v>
      </c>
    </row>
    <row r="645" spans="1:3" x14ac:dyDescent="0.3">
      <c r="A645" s="101">
        <v>43043</v>
      </c>
      <c r="B645" s="96" t="s">
        <v>5</v>
      </c>
      <c r="C645" s="96">
        <v>92</v>
      </c>
    </row>
    <row r="646" spans="1:3" x14ac:dyDescent="0.3">
      <c r="A646" s="101">
        <v>43044</v>
      </c>
      <c r="B646" s="96" t="s">
        <v>5</v>
      </c>
      <c r="C646" s="96">
        <v>18</v>
      </c>
    </row>
    <row r="647" spans="1:3" x14ac:dyDescent="0.3">
      <c r="A647" s="101">
        <v>43045</v>
      </c>
      <c r="B647" s="96" t="s">
        <v>5</v>
      </c>
      <c r="C647" s="96">
        <v>169</v>
      </c>
    </row>
    <row r="648" spans="1:3" x14ac:dyDescent="0.3">
      <c r="A648" s="101">
        <v>43045</v>
      </c>
      <c r="B648" s="96" t="s">
        <v>13</v>
      </c>
      <c r="C648" s="96">
        <v>129</v>
      </c>
    </row>
    <row r="649" spans="1:3" x14ac:dyDescent="0.3">
      <c r="A649" s="101">
        <v>43042</v>
      </c>
      <c r="B649" s="96" t="s">
        <v>13</v>
      </c>
      <c r="C649" s="96">
        <v>30</v>
      </c>
    </row>
    <row r="650" spans="1:3" x14ac:dyDescent="0.3">
      <c r="A650" s="101">
        <v>43041</v>
      </c>
      <c r="B650" s="96" t="s">
        <v>5</v>
      </c>
      <c r="C650" s="96">
        <v>12</v>
      </c>
    </row>
    <row r="651" spans="1:3" x14ac:dyDescent="0.3">
      <c r="A651" s="101">
        <v>43044</v>
      </c>
      <c r="B651" s="96" t="s">
        <v>5</v>
      </c>
      <c r="C651" s="96">
        <v>59</v>
      </c>
    </row>
    <row r="652" spans="1:3" x14ac:dyDescent="0.3">
      <c r="A652" s="101">
        <v>43047</v>
      </c>
      <c r="B652" s="96" t="s">
        <v>7</v>
      </c>
      <c r="C652" s="96">
        <v>120</v>
      </c>
    </row>
    <row r="653" spans="1:3" x14ac:dyDescent="0.3">
      <c r="A653" s="101">
        <v>43043</v>
      </c>
      <c r="B653" s="96" t="s">
        <v>7</v>
      </c>
      <c r="C653" s="96">
        <v>72</v>
      </c>
    </row>
    <row r="654" spans="1:3" x14ac:dyDescent="0.3">
      <c r="A654" s="101">
        <v>43045</v>
      </c>
      <c r="B654" s="96" t="s">
        <v>13</v>
      </c>
      <c r="C654" s="96">
        <v>111</v>
      </c>
    </row>
    <row r="655" spans="1:3" x14ac:dyDescent="0.3">
      <c r="A655" s="101">
        <v>43040</v>
      </c>
      <c r="B655" s="96" t="s">
        <v>13</v>
      </c>
      <c r="C655" s="96">
        <v>182</v>
      </c>
    </row>
    <row r="656" spans="1:3" x14ac:dyDescent="0.3">
      <c r="A656" s="101">
        <v>43041</v>
      </c>
      <c r="B656" s="96" t="s">
        <v>7</v>
      </c>
      <c r="C656" s="96">
        <v>175</v>
      </c>
    </row>
    <row r="657" spans="1:3" x14ac:dyDescent="0.3">
      <c r="A657" s="101">
        <v>43043</v>
      </c>
      <c r="B657" s="96" t="s">
        <v>5</v>
      </c>
      <c r="C657" s="96">
        <v>8</v>
      </c>
    </row>
    <row r="658" spans="1:3" x14ac:dyDescent="0.3">
      <c r="A658" s="101">
        <v>43041</v>
      </c>
      <c r="B658" s="96" t="s">
        <v>13</v>
      </c>
      <c r="C658" s="96">
        <v>69</v>
      </c>
    </row>
    <row r="659" spans="1:3" x14ac:dyDescent="0.3">
      <c r="A659" s="101">
        <v>43044</v>
      </c>
      <c r="B659" s="96" t="s">
        <v>5</v>
      </c>
      <c r="C659" s="96">
        <v>60</v>
      </c>
    </row>
    <row r="660" spans="1:3" x14ac:dyDescent="0.3">
      <c r="A660" s="101">
        <v>43046</v>
      </c>
      <c r="B660" s="96" t="s">
        <v>5</v>
      </c>
      <c r="C660" s="96">
        <v>25</v>
      </c>
    </row>
    <row r="661" spans="1:3" x14ac:dyDescent="0.3">
      <c r="A661" s="101">
        <v>43045</v>
      </c>
      <c r="B661" s="96" t="s">
        <v>8</v>
      </c>
      <c r="C661" s="96">
        <v>118</v>
      </c>
    </row>
    <row r="662" spans="1:3" x14ac:dyDescent="0.3">
      <c r="A662" s="101">
        <v>43045</v>
      </c>
      <c r="B662" s="96" t="s">
        <v>7</v>
      </c>
      <c r="C662" s="96">
        <v>63</v>
      </c>
    </row>
    <row r="663" spans="1:3" x14ac:dyDescent="0.3">
      <c r="A663" s="101">
        <v>43047</v>
      </c>
      <c r="B663" s="96" t="s">
        <v>7</v>
      </c>
      <c r="C663" s="96">
        <v>123</v>
      </c>
    </row>
    <row r="664" spans="1:3" x14ac:dyDescent="0.3">
      <c r="A664" s="101">
        <v>43042</v>
      </c>
      <c r="B664" s="96" t="s">
        <v>8</v>
      </c>
      <c r="C664" s="96">
        <v>90</v>
      </c>
    </row>
    <row r="665" spans="1:3" x14ac:dyDescent="0.3">
      <c r="A665" s="101">
        <v>43047</v>
      </c>
      <c r="B665" s="96" t="s">
        <v>8</v>
      </c>
      <c r="C665" s="96">
        <v>41</v>
      </c>
    </row>
    <row r="666" spans="1:3" x14ac:dyDescent="0.3">
      <c r="A666" s="101">
        <v>43047</v>
      </c>
      <c r="B666" s="96" t="s">
        <v>7</v>
      </c>
      <c r="C666" s="96">
        <v>162</v>
      </c>
    </row>
    <row r="667" spans="1:3" x14ac:dyDescent="0.3">
      <c r="A667" s="101">
        <v>43046</v>
      </c>
      <c r="B667" s="96" t="s">
        <v>5</v>
      </c>
      <c r="C667" s="96">
        <v>9</v>
      </c>
    </row>
    <row r="668" spans="1:3" x14ac:dyDescent="0.3">
      <c r="A668" s="101">
        <v>43046</v>
      </c>
      <c r="B668" s="96" t="s">
        <v>5</v>
      </c>
      <c r="C668" s="96">
        <v>161</v>
      </c>
    </row>
    <row r="669" spans="1:3" x14ac:dyDescent="0.3">
      <c r="A669" s="101">
        <v>43046</v>
      </c>
      <c r="B669" s="96" t="s">
        <v>13</v>
      </c>
      <c r="C669" s="96">
        <v>30</v>
      </c>
    </row>
    <row r="670" spans="1:3" x14ac:dyDescent="0.3">
      <c r="A670" s="101">
        <v>43044</v>
      </c>
      <c r="B670" s="96" t="s">
        <v>5</v>
      </c>
      <c r="C670" s="96">
        <v>120</v>
      </c>
    </row>
    <row r="671" spans="1:3" x14ac:dyDescent="0.3">
      <c r="A671" s="101">
        <v>43044</v>
      </c>
      <c r="B671" s="96" t="s">
        <v>8</v>
      </c>
      <c r="C671" s="96">
        <v>39</v>
      </c>
    </row>
    <row r="672" spans="1:3" x14ac:dyDescent="0.3">
      <c r="A672" s="101">
        <v>43047</v>
      </c>
      <c r="B672" s="96" t="s">
        <v>5</v>
      </c>
      <c r="C672" s="96">
        <v>131</v>
      </c>
    </row>
    <row r="673" spans="1:3" x14ac:dyDescent="0.3">
      <c r="A673" s="101">
        <v>43045</v>
      </c>
      <c r="B673" s="96" t="s">
        <v>13</v>
      </c>
      <c r="C673" s="96">
        <v>90</v>
      </c>
    </row>
    <row r="674" spans="1:3" x14ac:dyDescent="0.3">
      <c r="A674" s="101">
        <v>43044</v>
      </c>
      <c r="B674" s="96" t="s">
        <v>7</v>
      </c>
      <c r="C674" s="96">
        <v>171</v>
      </c>
    </row>
    <row r="675" spans="1:3" x14ac:dyDescent="0.3">
      <c r="A675" s="101">
        <v>43045</v>
      </c>
      <c r="B675" s="96" t="s">
        <v>7</v>
      </c>
      <c r="C675" s="96">
        <v>158</v>
      </c>
    </row>
    <row r="676" spans="1:3" x14ac:dyDescent="0.3">
      <c r="A676" s="101">
        <v>43041</v>
      </c>
      <c r="B676" s="96" t="s">
        <v>7</v>
      </c>
      <c r="C676" s="96">
        <v>130</v>
      </c>
    </row>
    <row r="677" spans="1:3" x14ac:dyDescent="0.3">
      <c r="A677" s="101">
        <v>43046</v>
      </c>
      <c r="B677" s="96" t="s">
        <v>13</v>
      </c>
      <c r="C677" s="96">
        <v>149</v>
      </c>
    </row>
    <row r="678" spans="1:3" x14ac:dyDescent="0.3">
      <c r="A678" s="101">
        <v>43047</v>
      </c>
      <c r="B678" s="96" t="s">
        <v>5</v>
      </c>
      <c r="C678" s="96">
        <v>143</v>
      </c>
    </row>
    <row r="679" spans="1:3" x14ac:dyDescent="0.3">
      <c r="A679" s="101">
        <v>43040</v>
      </c>
      <c r="B679" s="96" t="s">
        <v>13</v>
      </c>
      <c r="C679" s="96">
        <v>48</v>
      </c>
    </row>
    <row r="680" spans="1:3" x14ac:dyDescent="0.3">
      <c r="A680" s="101">
        <v>43044</v>
      </c>
      <c r="B680" s="96" t="s">
        <v>8</v>
      </c>
      <c r="C680" s="96">
        <v>17</v>
      </c>
    </row>
    <row r="681" spans="1:3" x14ac:dyDescent="0.3">
      <c r="A681" s="101">
        <v>43042</v>
      </c>
      <c r="B681" s="96" t="s">
        <v>7</v>
      </c>
      <c r="C681" s="96">
        <v>35</v>
      </c>
    </row>
    <row r="682" spans="1:3" x14ac:dyDescent="0.3">
      <c r="A682" s="101">
        <v>43044</v>
      </c>
      <c r="B682" s="96" t="s">
        <v>5</v>
      </c>
      <c r="C682" s="96">
        <v>168</v>
      </c>
    </row>
    <row r="683" spans="1:3" x14ac:dyDescent="0.3">
      <c r="A683" s="101">
        <v>43041</v>
      </c>
      <c r="B683" s="96" t="s">
        <v>5</v>
      </c>
      <c r="C683" s="96">
        <v>106</v>
      </c>
    </row>
    <row r="684" spans="1:3" x14ac:dyDescent="0.3">
      <c r="A684" s="101">
        <v>43044</v>
      </c>
      <c r="B684" s="96" t="s">
        <v>8</v>
      </c>
      <c r="C684" s="96">
        <v>36</v>
      </c>
    </row>
    <row r="685" spans="1:3" x14ac:dyDescent="0.3">
      <c r="A685" s="101">
        <v>43041</v>
      </c>
      <c r="B685" s="96" t="s">
        <v>8</v>
      </c>
      <c r="C685" s="96">
        <v>19</v>
      </c>
    </row>
    <row r="686" spans="1:3" x14ac:dyDescent="0.3">
      <c r="A686" s="101">
        <v>43044</v>
      </c>
      <c r="B686" s="96" t="s">
        <v>8</v>
      </c>
      <c r="C686" s="96">
        <v>173</v>
      </c>
    </row>
    <row r="687" spans="1:3" x14ac:dyDescent="0.3">
      <c r="A687" s="101">
        <v>43042</v>
      </c>
      <c r="B687" s="96" t="s">
        <v>7</v>
      </c>
      <c r="C687" s="96">
        <v>66</v>
      </c>
    </row>
    <row r="688" spans="1:3" x14ac:dyDescent="0.3">
      <c r="A688" s="101">
        <v>43045</v>
      </c>
      <c r="B688" s="96" t="s">
        <v>8</v>
      </c>
      <c r="C688" s="96">
        <v>25</v>
      </c>
    </row>
    <row r="689" spans="1:3" x14ac:dyDescent="0.3">
      <c r="A689" s="101">
        <v>43043</v>
      </c>
      <c r="B689" s="96" t="s">
        <v>5</v>
      </c>
      <c r="C689" s="96">
        <v>47</v>
      </c>
    </row>
    <row r="690" spans="1:3" x14ac:dyDescent="0.3">
      <c r="A690" s="101">
        <v>43047</v>
      </c>
      <c r="B690" s="96" t="s">
        <v>5</v>
      </c>
      <c r="C690" s="96">
        <v>49</v>
      </c>
    </row>
    <row r="691" spans="1:3" x14ac:dyDescent="0.3">
      <c r="A691" s="101">
        <v>43047</v>
      </c>
      <c r="B691" s="96" t="s">
        <v>7</v>
      </c>
      <c r="C691" s="96">
        <v>1</v>
      </c>
    </row>
    <row r="692" spans="1:3" x14ac:dyDescent="0.3">
      <c r="A692" s="101">
        <v>43042</v>
      </c>
      <c r="B692" s="96" t="s">
        <v>13</v>
      </c>
      <c r="C692" s="96">
        <v>75</v>
      </c>
    </row>
    <row r="693" spans="1:3" x14ac:dyDescent="0.3">
      <c r="A693" s="101">
        <v>43045</v>
      </c>
      <c r="B693" s="96" t="s">
        <v>5</v>
      </c>
      <c r="C693" s="96">
        <v>137</v>
      </c>
    </row>
    <row r="694" spans="1:3" x14ac:dyDescent="0.3">
      <c r="A694" s="101">
        <v>43040</v>
      </c>
      <c r="B694" s="96" t="s">
        <v>13</v>
      </c>
      <c r="C694" s="96">
        <v>101</v>
      </c>
    </row>
    <row r="695" spans="1:3" x14ac:dyDescent="0.3">
      <c r="A695" s="101">
        <v>43046</v>
      </c>
      <c r="B695" s="96" t="s">
        <v>7</v>
      </c>
      <c r="C695" s="96">
        <v>11</v>
      </c>
    </row>
    <row r="696" spans="1:3" x14ac:dyDescent="0.3">
      <c r="A696" s="101">
        <v>43042</v>
      </c>
      <c r="B696" s="96" t="s">
        <v>8</v>
      </c>
      <c r="C696" s="96">
        <v>42</v>
      </c>
    </row>
    <row r="697" spans="1:3" x14ac:dyDescent="0.3">
      <c r="A697" s="101">
        <v>43040</v>
      </c>
      <c r="B697" s="96" t="s">
        <v>5</v>
      </c>
      <c r="C697" s="96">
        <v>185</v>
      </c>
    </row>
    <row r="698" spans="1:3" x14ac:dyDescent="0.3">
      <c r="A698" s="101">
        <v>43043</v>
      </c>
      <c r="B698" s="96" t="s">
        <v>5</v>
      </c>
      <c r="C698" s="96">
        <v>160</v>
      </c>
    </row>
    <row r="699" spans="1:3" x14ac:dyDescent="0.3">
      <c r="A699" s="101">
        <v>43043</v>
      </c>
      <c r="B699" s="96" t="s">
        <v>5</v>
      </c>
      <c r="C699" s="96">
        <v>7</v>
      </c>
    </row>
    <row r="700" spans="1:3" x14ac:dyDescent="0.3">
      <c r="A700" s="101">
        <v>43044</v>
      </c>
      <c r="B700" s="96" t="s">
        <v>13</v>
      </c>
      <c r="C700" s="96">
        <v>1</v>
      </c>
    </row>
    <row r="701" spans="1:3" x14ac:dyDescent="0.3">
      <c r="A701" s="101">
        <v>43045</v>
      </c>
      <c r="B701" s="96" t="s">
        <v>5</v>
      </c>
      <c r="C701" s="96">
        <v>80</v>
      </c>
    </row>
    <row r="702" spans="1:3" x14ac:dyDescent="0.3">
      <c r="A702" s="101">
        <v>43047</v>
      </c>
      <c r="B702" s="96" t="s">
        <v>7</v>
      </c>
      <c r="C702" s="96">
        <v>117</v>
      </c>
    </row>
    <row r="703" spans="1:3" x14ac:dyDescent="0.3">
      <c r="A703" s="101">
        <v>43041</v>
      </c>
      <c r="B703" s="96" t="s">
        <v>8</v>
      </c>
      <c r="C703" s="96">
        <v>37</v>
      </c>
    </row>
    <row r="704" spans="1:3" x14ac:dyDescent="0.3">
      <c r="A704" s="101">
        <v>43040</v>
      </c>
      <c r="B704" s="96" t="s">
        <v>5</v>
      </c>
      <c r="C704" s="96">
        <v>179</v>
      </c>
    </row>
    <row r="705" spans="1:3" x14ac:dyDescent="0.3">
      <c r="A705" s="101">
        <v>43046</v>
      </c>
      <c r="B705" s="96" t="s">
        <v>7</v>
      </c>
      <c r="C705" s="96">
        <v>60</v>
      </c>
    </row>
    <row r="706" spans="1:3" x14ac:dyDescent="0.3">
      <c r="A706" s="101">
        <v>43043</v>
      </c>
      <c r="B706" s="96" t="s">
        <v>8</v>
      </c>
      <c r="C706" s="96">
        <v>60</v>
      </c>
    </row>
    <row r="707" spans="1:3" x14ac:dyDescent="0.3">
      <c r="A707" s="101">
        <v>43044</v>
      </c>
      <c r="B707" s="96" t="s">
        <v>7</v>
      </c>
      <c r="C707" s="96">
        <v>79</v>
      </c>
    </row>
    <row r="708" spans="1:3" x14ac:dyDescent="0.3">
      <c r="A708" s="101">
        <v>43047</v>
      </c>
      <c r="B708" s="96" t="s">
        <v>7</v>
      </c>
      <c r="C708" s="96">
        <v>63</v>
      </c>
    </row>
    <row r="709" spans="1:3" x14ac:dyDescent="0.3">
      <c r="A709" s="101">
        <v>43040</v>
      </c>
      <c r="B709" s="96" t="s">
        <v>5</v>
      </c>
      <c r="C709" s="96">
        <v>145</v>
      </c>
    </row>
    <row r="710" spans="1:3" x14ac:dyDescent="0.3">
      <c r="A710" s="101">
        <v>43045</v>
      </c>
      <c r="B710" s="96" t="s">
        <v>13</v>
      </c>
      <c r="C710" s="96">
        <v>39</v>
      </c>
    </row>
    <row r="711" spans="1:3" x14ac:dyDescent="0.3">
      <c r="A711" s="101">
        <v>43043</v>
      </c>
      <c r="B711" s="96" t="s">
        <v>7</v>
      </c>
      <c r="C711" s="96">
        <v>117</v>
      </c>
    </row>
    <row r="712" spans="1:3" x14ac:dyDescent="0.3">
      <c r="A712" s="101">
        <v>43044</v>
      </c>
      <c r="B712" s="96" t="s">
        <v>8</v>
      </c>
      <c r="C712" s="96">
        <v>127</v>
      </c>
    </row>
    <row r="713" spans="1:3" x14ac:dyDescent="0.3">
      <c r="A713" s="101">
        <v>43047</v>
      </c>
      <c r="B713" s="96" t="s">
        <v>7</v>
      </c>
      <c r="C713" s="96">
        <v>13</v>
      </c>
    </row>
    <row r="714" spans="1:3" x14ac:dyDescent="0.3">
      <c r="A714" s="101">
        <v>43044</v>
      </c>
      <c r="B714" s="96" t="s">
        <v>7</v>
      </c>
      <c r="C714" s="96">
        <v>92</v>
      </c>
    </row>
    <row r="715" spans="1:3" x14ac:dyDescent="0.3">
      <c r="A715" s="101">
        <v>43047</v>
      </c>
      <c r="B715" s="96" t="s">
        <v>7</v>
      </c>
      <c r="C715" s="96">
        <v>147</v>
      </c>
    </row>
    <row r="716" spans="1:3" x14ac:dyDescent="0.3">
      <c r="A716" s="101">
        <v>43041</v>
      </c>
      <c r="B716" s="96" t="s">
        <v>5</v>
      </c>
      <c r="C716" s="96">
        <v>175</v>
      </c>
    </row>
    <row r="717" spans="1:3" x14ac:dyDescent="0.3">
      <c r="A717" s="101">
        <v>43041</v>
      </c>
      <c r="B717" s="96" t="s">
        <v>7</v>
      </c>
      <c r="C717" s="96">
        <v>165</v>
      </c>
    </row>
    <row r="718" spans="1:3" x14ac:dyDescent="0.3">
      <c r="A718" s="101">
        <v>43041</v>
      </c>
      <c r="B718" s="96" t="s">
        <v>5</v>
      </c>
      <c r="C718" s="96">
        <v>10</v>
      </c>
    </row>
    <row r="719" spans="1:3" x14ac:dyDescent="0.3">
      <c r="A719" s="101">
        <v>43042</v>
      </c>
      <c r="B719" s="96" t="s">
        <v>8</v>
      </c>
      <c r="C719" s="96">
        <v>110</v>
      </c>
    </row>
    <row r="720" spans="1:3" x14ac:dyDescent="0.3">
      <c r="A720" s="101">
        <v>43040</v>
      </c>
      <c r="B720" s="96" t="s">
        <v>7</v>
      </c>
      <c r="C720" s="96">
        <v>133</v>
      </c>
    </row>
    <row r="721" spans="1:3" x14ac:dyDescent="0.3">
      <c r="A721" s="101">
        <v>43041</v>
      </c>
      <c r="B721" s="96" t="s">
        <v>5</v>
      </c>
      <c r="C721" s="96">
        <v>191</v>
      </c>
    </row>
    <row r="722" spans="1:3" x14ac:dyDescent="0.3">
      <c r="A722" s="101">
        <v>43043</v>
      </c>
      <c r="B722" s="96" t="s">
        <v>7</v>
      </c>
      <c r="C722" s="96">
        <v>123</v>
      </c>
    </row>
    <row r="723" spans="1:3" x14ac:dyDescent="0.3">
      <c r="A723" s="101">
        <v>43046</v>
      </c>
      <c r="B723" s="96" t="s">
        <v>8</v>
      </c>
      <c r="C723" s="96">
        <v>26</v>
      </c>
    </row>
    <row r="724" spans="1:3" x14ac:dyDescent="0.3">
      <c r="A724" s="101">
        <v>43047</v>
      </c>
      <c r="B724" s="96" t="s">
        <v>7</v>
      </c>
      <c r="C724" s="96">
        <v>88</v>
      </c>
    </row>
    <row r="725" spans="1:3" x14ac:dyDescent="0.3">
      <c r="A725" s="101">
        <v>43046</v>
      </c>
      <c r="B725" s="96" t="s">
        <v>8</v>
      </c>
      <c r="C725" s="96">
        <v>119</v>
      </c>
    </row>
    <row r="726" spans="1:3" x14ac:dyDescent="0.3">
      <c r="A726" s="101">
        <v>43043</v>
      </c>
      <c r="B726" s="96" t="s">
        <v>7</v>
      </c>
      <c r="C726" s="96">
        <v>78</v>
      </c>
    </row>
    <row r="727" spans="1:3" x14ac:dyDescent="0.3">
      <c r="A727" s="101">
        <v>43040</v>
      </c>
      <c r="B727" s="96" t="s">
        <v>13</v>
      </c>
      <c r="C727" s="96">
        <v>141</v>
      </c>
    </row>
    <row r="728" spans="1:3" x14ac:dyDescent="0.3">
      <c r="A728" s="101">
        <v>43040</v>
      </c>
      <c r="B728" s="96" t="s">
        <v>5</v>
      </c>
      <c r="C728" s="96">
        <v>187</v>
      </c>
    </row>
    <row r="729" spans="1:3" x14ac:dyDescent="0.3">
      <c r="A729" s="101">
        <v>43043</v>
      </c>
      <c r="B729" s="96" t="s">
        <v>7</v>
      </c>
      <c r="C729" s="96">
        <v>2</v>
      </c>
    </row>
    <row r="730" spans="1:3" x14ac:dyDescent="0.3">
      <c r="A730" s="101">
        <v>43044</v>
      </c>
      <c r="B730" s="96" t="s">
        <v>5</v>
      </c>
      <c r="C730" s="96">
        <v>163</v>
      </c>
    </row>
    <row r="731" spans="1:3" x14ac:dyDescent="0.3">
      <c r="A731" s="101">
        <v>43045</v>
      </c>
      <c r="B731" s="96" t="s">
        <v>7</v>
      </c>
      <c r="C731" s="96">
        <v>106</v>
      </c>
    </row>
    <row r="732" spans="1:3" x14ac:dyDescent="0.3">
      <c r="A732" s="101">
        <v>43044</v>
      </c>
      <c r="B732" s="96" t="s">
        <v>13</v>
      </c>
      <c r="C732" s="96">
        <v>9</v>
      </c>
    </row>
    <row r="733" spans="1:3" x14ac:dyDescent="0.3">
      <c r="A733" s="101">
        <v>43040</v>
      </c>
      <c r="B733" s="96" t="s">
        <v>7</v>
      </c>
      <c r="C733" s="96">
        <v>70</v>
      </c>
    </row>
    <row r="734" spans="1:3" x14ac:dyDescent="0.3">
      <c r="A734" s="101">
        <v>43044</v>
      </c>
      <c r="B734" s="96" t="s">
        <v>5</v>
      </c>
      <c r="C734" s="96">
        <v>88</v>
      </c>
    </row>
    <row r="735" spans="1:3" x14ac:dyDescent="0.3">
      <c r="A735" s="101">
        <v>43040</v>
      </c>
      <c r="B735" s="96" t="s">
        <v>7</v>
      </c>
      <c r="C735" s="96">
        <v>129</v>
      </c>
    </row>
    <row r="736" spans="1:3" x14ac:dyDescent="0.3">
      <c r="A736" s="101">
        <v>43040</v>
      </c>
      <c r="B736" s="96" t="s">
        <v>7</v>
      </c>
      <c r="C736" s="96">
        <v>50</v>
      </c>
    </row>
    <row r="737" spans="1:3" x14ac:dyDescent="0.3">
      <c r="A737" s="101">
        <v>43041</v>
      </c>
      <c r="B737" s="96" t="s">
        <v>7</v>
      </c>
      <c r="C737" s="96">
        <v>158</v>
      </c>
    </row>
    <row r="738" spans="1:3" x14ac:dyDescent="0.3">
      <c r="A738" s="101">
        <v>43046</v>
      </c>
      <c r="B738" s="96" t="s">
        <v>5</v>
      </c>
      <c r="C738" s="96">
        <v>166</v>
      </c>
    </row>
    <row r="739" spans="1:3" x14ac:dyDescent="0.3">
      <c r="A739" s="101">
        <v>43047</v>
      </c>
      <c r="B739" s="96" t="s">
        <v>13</v>
      </c>
      <c r="C739" s="96">
        <v>151</v>
      </c>
    </row>
    <row r="740" spans="1:3" x14ac:dyDescent="0.3">
      <c r="A740" s="101">
        <v>43042</v>
      </c>
      <c r="B740" s="96" t="s">
        <v>13</v>
      </c>
      <c r="C740" s="96">
        <v>110</v>
      </c>
    </row>
    <row r="741" spans="1:3" x14ac:dyDescent="0.3">
      <c r="A741" s="101">
        <v>43040</v>
      </c>
      <c r="B741" s="96" t="s">
        <v>5</v>
      </c>
      <c r="C741" s="96">
        <v>13</v>
      </c>
    </row>
    <row r="742" spans="1:3" x14ac:dyDescent="0.3">
      <c r="A742" s="101">
        <v>43040</v>
      </c>
      <c r="B742" s="96" t="s">
        <v>7</v>
      </c>
      <c r="C742" s="96">
        <v>85</v>
      </c>
    </row>
    <row r="743" spans="1:3" x14ac:dyDescent="0.3">
      <c r="A743" s="101">
        <v>43046</v>
      </c>
      <c r="B743" s="96" t="s">
        <v>13</v>
      </c>
      <c r="C743" s="96">
        <v>74</v>
      </c>
    </row>
    <row r="744" spans="1:3" x14ac:dyDescent="0.3">
      <c r="A744" s="101">
        <v>43044</v>
      </c>
      <c r="B744" s="96" t="s">
        <v>7</v>
      </c>
      <c r="C744" s="96">
        <v>169</v>
      </c>
    </row>
    <row r="745" spans="1:3" x14ac:dyDescent="0.3">
      <c r="A745" s="101">
        <v>43044</v>
      </c>
      <c r="B745" s="96" t="s">
        <v>13</v>
      </c>
      <c r="C745" s="96">
        <v>89</v>
      </c>
    </row>
    <row r="746" spans="1:3" x14ac:dyDescent="0.3">
      <c r="A746" s="101">
        <v>43042</v>
      </c>
      <c r="B746" s="96" t="s">
        <v>5</v>
      </c>
      <c r="C746" s="96">
        <v>189</v>
      </c>
    </row>
    <row r="747" spans="1:3" x14ac:dyDescent="0.3">
      <c r="A747" s="101">
        <v>43042</v>
      </c>
      <c r="B747" s="96" t="s">
        <v>13</v>
      </c>
      <c r="C747" s="96">
        <v>138</v>
      </c>
    </row>
    <row r="748" spans="1:3" x14ac:dyDescent="0.3">
      <c r="A748" s="101">
        <v>43047</v>
      </c>
      <c r="B748" s="96" t="s">
        <v>8</v>
      </c>
      <c r="C748" s="96">
        <v>6</v>
      </c>
    </row>
    <row r="749" spans="1:3" x14ac:dyDescent="0.3">
      <c r="A749" s="101">
        <v>43042</v>
      </c>
      <c r="B749" s="96" t="s">
        <v>13</v>
      </c>
      <c r="C749" s="96">
        <v>133</v>
      </c>
    </row>
    <row r="750" spans="1:3" x14ac:dyDescent="0.3">
      <c r="A750" s="101">
        <v>43046</v>
      </c>
      <c r="B750" s="96" t="s">
        <v>13</v>
      </c>
      <c r="C750" s="96">
        <v>95</v>
      </c>
    </row>
    <row r="751" spans="1:3" x14ac:dyDescent="0.3">
      <c r="A751" s="101">
        <v>43045</v>
      </c>
      <c r="B751" s="96" t="s">
        <v>8</v>
      </c>
      <c r="C751" s="96">
        <v>133</v>
      </c>
    </row>
    <row r="752" spans="1:3" x14ac:dyDescent="0.3">
      <c r="A752" s="101">
        <v>43047</v>
      </c>
      <c r="B752" s="96" t="s">
        <v>7</v>
      </c>
      <c r="C752" s="96">
        <v>164</v>
      </c>
    </row>
    <row r="753" spans="1:3" x14ac:dyDescent="0.3">
      <c r="A753" s="101">
        <v>43046</v>
      </c>
      <c r="B753" s="96" t="s">
        <v>5</v>
      </c>
      <c r="C753" s="96">
        <v>30</v>
      </c>
    </row>
    <row r="754" spans="1:3" x14ac:dyDescent="0.3">
      <c r="A754" s="101">
        <v>43046</v>
      </c>
      <c r="B754" s="96" t="s">
        <v>8</v>
      </c>
      <c r="C754" s="96">
        <v>113</v>
      </c>
    </row>
    <row r="755" spans="1:3" x14ac:dyDescent="0.3">
      <c r="A755" s="101">
        <v>43043</v>
      </c>
      <c r="B755" s="96" t="s">
        <v>7</v>
      </c>
      <c r="C755" s="96">
        <v>3</v>
      </c>
    </row>
    <row r="756" spans="1:3" x14ac:dyDescent="0.3">
      <c r="A756" s="101">
        <v>43046</v>
      </c>
      <c r="B756" s="96" t="s">
        <v>13</v>
      </c>
      <c r="C756" s="96">
        <v>167</v>
      </c>
    </row>
    <row r="757" spans="1:3" x14ac:dyDescent="0.3">
      <c r="A757" s="101">
        <v>43046</v>
      </c>
      <c r="B757" s="96" t="s">
        <v>7</v>
      </c>
      <c r="C757" s="96">
        <v>148</v>
      </c>
    </row>
    <row r="758" spans="1:3" x14ac:dyDescent="0.3">
      <c r="A758" s="101">
        <v>43042</v>
      </c>
      <c r="B758" s="96" t="s">
        <v>13</v>
      </c>
      <c r="C758" s="96">
        <v>167</v>
      </c>
    </row>
    <row r="759" spans="1:3" x14ac:dyDescent="0.3">
      <c r="A759" s="101">
        <v>43047</v>
      </c>
      <c r="B759" s="96" t="s">
        <v>8</v>
      </c>
      <c r="C759" s="96">
        <v>25</v>
      </c>
    </row>
    <row r="760" spans="1:3" x14ac:dyDescent="0.3">
      <c r="A760" s="101">
        <v>43043</v>
      </c>
      <c r="B760" s="96" t="s">
        <v>5</v>
      </c>
      <c r="C760" s="96">
        <v>130</v>
      </c>
    </row>
    <row r="761" spans="1:3" x14ac:dyDescent="0.3">
      <c r="A761" s="101">
        <v>43043</v>
      </c>
      <c r="B761" s="96" t="s">
        <v>13</v>
      </c>
      <c r="C761" s="96">
        <v>19</v>
      </c>
    </row>
    <row r="762" spans="1:3" x14ac:dyDescent="0.3">
      <c r="A762" s="101">
        <v>43040</v>
      </c>
      <c r="B762" s="96" t="s">
        <v>5</v>
      </c>
      <c r="C762" s="96">
        <v>33</v>
      </c>
    </row>
    <row r="763" spans="1:3" x14ac:dyDescent="0.3">
      <c r="A763" s="101">
        <v>43046</v>
      </c>
      <c r="B763" s="96" t="s">
        <v>7</v>
      </c>
      <c r="C763" s="96">
        <v>86</v>
      </c>
    </row>
    <row r="764" spans="1:3" x14ac:dyDescent="0.3">
      <c r="A764" s="101">
        <v>43047</v>
      </c>
      <c r="B764" s="96" t="s">
        <v>13</v>
      </c>
      <c r="C764" s="96">
        <v>50</v>
      </c>
    </row>
    <row r="765" spans="1:3" x14ac:dyDescent="0.3">
      <c r="A765" s="101">
        <v>43044</v>
      </c>
      <c r="B765" s="96" t="s">
        <v>5</v>
      </c>
      <c r="C765" s="96">
        <v>68</v>
      </c>
    </row>
    <row r="766" spans="1:3" x14ac:dyDescent="0.3">
      <c r="A766" s="101">
        <v>43041</v>
      </c>
      <c r="B766" s="96" t="s">
        <v>13</v>
      </c>
      <c r="C766" s="96">
        <v>77</v>
      </c>
    </row>
    <row r="767" spans="1:3" x14ac:dyDescent="0.3">
      <c r="A767" s="101">
        <v>43042</v>
      </c>
      <c r="B767" s="96" t="s">
        <v>7</v>
      </c>
      <c r="C767" s="96">
        <v>20</v>
      </c>
    </row>
    <row r="768" spans="1:3" x14ac:dyDescent="0.3">
      <c r="A768" s="101">
        <v>43040</v>
      </c>
      <c r="B768" s="96" t="s">
        <v>13</v>
      </c>
      <c r="C768" s="96">
        <v>132</v>
      </c>
    </row>
    <row r="769" spans="1:3" x14ac:dyDescent="0.3">
      <c r="A769" s="101">
        <v>43047</v>
      </c>
      <c r="B769" s="96" t="s">
        <v>5</v>
      </c>
      <c r="C769" s="96">
        <v>4</v>
      </c>
    </row>
    <row r="770" spans="1:3" x14ac:dyDescent="0.3">
      <c r="A770" s="101">
        <v>43045</v>
      </c>
      <c r="B770" s="96" t="s">
        <v>5</v>
      </c>
      <c r="C770" s="96">
        <v>153</v>
      </c>
    </row>
    <row r="771" spans="1:3" x14ac:dyDescent="0.3">
      <c r="A771" s="101">
        <v>43047</v>
      </c>
      <c r="B771" s="96" t="s">
        <v>7</v>
      </c>
      <c r="C771" s="96">
        <v>29</v>
      </c>
    </row>
    <row r="772" spans="1:3" x14ac:dyDescent="0.3">
      <c r="A772" s="101">
        <v>43042</v>
      </c>
      <c r="B772" s="96" t="s">
        <v>13</v>
      </c>
      <c r="C772" s="96">
        <v>98</v>
      </c>
    </row>
    <row r="773" spans="1:3" x14ac:dyDescent="0.3">
      <c r="A773" s="101">
        <v>43046</v>
      </c>
      <c r="B773" s="96" t="s">
        <v>8</v>
      </c>
      <c r="C773" s="96">
        <v>89</v>
      </c>
    </row>
    <row r="774" spans="1:3" x14ac:dyDescent="0.3">
      <c r="A774" s="101">
        <v>43042</v>
      </c>
      <c r="B774" s="96" t="s">
        <v>8</v>
      </c>
      <c r="C774" s="96">
        <v>129</v>
      </c>
    </row>
    <row r="775" spans="1:3" x14ac:dyDescent="0.3">
      <c r="A775" s="101">
        <v>43046</v>
      </c>
      <c r="B775" s="96" t="s">
        <v>8</v>
      </c>
      <c r="C775" s="96">
        <v>165</v>
      </c>
    </row>
    <row r="776" spans="1:3" x14ac:dyDescent="0.3">
      <c r="A776" s="101">
        <v>43043</v>
      </c>
      <c r="B776" s="96" t="s">
        <v>13</v>
      </c>
      <c r="C776" s="96">
        <v>169</v>
      </c>
    </row>
    <row r="777" spans="1:3" x14ac:dyDescent="0.3">
      <c r="A777" s="101">
        <v>43040</v>
      </c>
      <c r="B777" s="96" t="s">
        <v>5</v>
      </c>
      <c r="C777" s="96">
        <v>191</v>
      </c>
    </row>
    <row r="778" spans="1:3" x14ac:dyDescent="0.3">
      <c r="A778" s="101">
        <v>43047</v>
      </c>
      <c r="B778" s="96" t="s">
        <v>8</v>
      </c>
      <c r="C778" s="96">
        <v>120</v>
      </c>
    </row>
    <row r="779" spans="1:3" x14ac:dyDescent="0.3">
      <c r="A779" s="101">
        <v>43046</v>
      </c>
      <c r="B779" s="96" t="s">
        <v>13</v>
      </c>
      <c r="C779" s="96">
        <v>188</v>
      </c>
    </row>
    <row r="780" spans="1:3" x14ac:dyDescent="0.3">
      <c r="A780" s="101">
        <v>43045</v>
      </c>
      <c r="B780" s="96" t="s">
        <v>5</v>
      </c>
      <c r="C780" s="96">
        <v>101</v>
      </c>
    </row>
    <row r="781" spans="1:3" x14ac:dyDescent="0.3">
      <c r="A781" s="101">
        <v>43044</v>
      </c>
      <c r="B781" s="96" t="s">
        <v>7</v>
      </c>
      <c r="C781" s="96">
        <v>73</v>
      </c>
    </row>
    <row r="782" spans="1:3" x14ac:dyDescent="0.3">
      <c r="A782" s="101">
        <v>43046</v>
      </c>
      <c r="B782" s="96" t="s">
        <v>5</v>
      </c>
      <c r="C782" s="96">
        <v>139</v>
      </c>
    </row>
    <row r="783" spans="1:3" x14ac:dyDescent="0.3">
      <c r="A783" s="101">
        <v>43042</v>
      </c>
      <c r="B783" s="96" t="s">
        <v>5</v>
      </c>
      <c r="C783" s="96">
        <v>168</v>
      </c>
    </row>
    <row r="784" spans="1:3" x14ac:dyDescent="0.3">
      <c r="A784" s="101">
        <v>43046</v>
      </c>
      <c r="B784" s="96" t="s">
        <v>13</v>
      </c>
      <c r="C784" s="96">
        <v>150</v>
      </c>
    </row>
    <row r="785" spans="1:3" x14ac:dyDescent="0.3">
      <c r="A785" s="101">
        <v>43046</v>
      </c>
      <c r="B785" s="96" t="s">
        <v>7</v>
      </c>
      <c r="C785" s="96">
        <v>24</v>
      </c>
    </row>
    <row r="786" spans="1:3" x14ac:dyDescent="0.3">
      <c r="A786" s="101">
        <v>43045</v>
      </c>
      <c r="B786" s="96" t="s">
        <v>5</v>
      </c>
      <c r="C786" s="96">
        <v>94</v>
      </c>
    </row>
    <row r="787" spans="1:3" x14ac:dyDescent="0.3">
      <c r="A787" s="101">
        <v>43040</v>
      </c>
      <c r="B787" s="96" t="s">
        <v>8</v>
      </c>
      <c r="C787" s="96">
        <v>171</v>
      </c>
    </row>
    <row r="788" spans="1:3" x14ac:dyDescent="0.3">
      <c r="A788" s="101">
        <v>43044</v>
      </c>
      <c r="B788" s="96" t="s">
        <v>13</v>
      </c>
      <c r="C788" s="96">
        <v>119</v>
      </c>
    </row>
    <row r="789" spans="1:3" x14ac:dyDescent="0.3">
      <c r="A789" s="101">
        <v>43047</v>
      </c>
      <c r="B789" s="96" t="s">
        <v>5</v>
      </c>
      <c r="C789" s="96">
        <v>157</v>
      </c>
    </row>
    <row r="790" spans="1:3" x14ac:dyDescent="0.3">
      <c r="A790" s="101">
        <v>43045</v>
      </c>
      <c r="B790" s="96" t="s">
        <v>13</v>
      </c>
      <c r="C790" s="96">
        <v>46</v>
      </c>
    </row>
    <row r="791" spans="1:3" x14ac:dyDescent="0.3">
      <c r="A791" s="101">
        <v>43047</v>
      </c>
      <c r="B791" s="96" t="s">
        <v>13</v>
      </c>
      <c r="C791" s="96">
        <v>191</v>
      </c>
    </row>
    <row r="792" spans="1:3" x14ac:dyDescent="0.3">
      <c r="A792" s="101">
        <v>43040</v>
      </c>
      <c r="B792" s="96" t="s">
        <v>5</v>
      </c>
      <c r="C792" s="96">
        <v>83</v>
      </c>
    </row>
    <row r="793" spans="1:3" x14ac:dyDescent="0.3">
      <c r="A793" s="101">
        <v>43042</v>
      </c>
      <c r="B793" s="96" t="s">
        <v>13</v>
      </c>
      <c r="C793" s="96">
        <v>106</v>
      </c>
    </row>
    <row r="794" spans="1:3" x14ac:dyDescent="0.3">
      <c r="A794" s="101">
        <v>43046</v>
      </c>
      <c r="B794" s="96" t="s">
        <v>5</v>
      </c>
      <c r="C794" s="96">
        <v>53</v>
      </c>
    </row>
    <row r="795" spans="1:3" x14ac:dyDescent="0.3">
      <c r="A795" s="101">
        <v>43046</v>
      </c>
      <c r="B795" s="96" t="s">
        <v>8</v>
      </c>
      <c r="C795" s="96">
        <v>178</v>
      </c>
    </row>
    <row r="796" spans="1:3" x14ac:dyDescent="0.3">
      <c r="A796" s="101">
        <v>43044</v>
      </c>
      <c r="B796" s="96" t="s">
        <v>13</v>
      </c>
      <c r="C796" s="96">
        <v>134</v>
      </c>
    </row>
    <row r="797" spans="1:3" x14ac:dyDescent="0.3">
      <c r="A797" s="101">
        <v>43045</v>
      </c>
      <c r="B797" s="96" t="s">
        <v>8</v>
      </c>
      <c r="C797" s="96">
        <v>74</v>
      </c>
    </row>
    <row r="798" spans="1:3" x14ac:dyDescent="0.3">
      <c r="A798" s="101">
        <v>43040</v>
      </c>
      <c r="B798" s="96" t="s">
        <v>8</v>
      </c>
      <c r="C798" s="96">
        <v>38</v>
      </c>
    </row>
    <row r="799" spans="1:3" x14ac:dyDescent="0.3">
      <c r="A799" s="101">
        <v>43043</v>
      </c>
      <c r="B799" s="96" t="s">
        <v>5</v>
      </c>
      <c r="C799" s="96">
        <v>185</v>
      </c>
    </row>
    <row r="800" spans="1:3" x14ac:dyDescent="0.3">
      <c r="A800" s="101">
        <v>43042</v>
      </c>
      <c r="B800" s="96" t="s">
        <v>13</v>
      </c>
      <c r="C800" s="96">
        <v>145</v>
      </c>
    </row>
    <row r="801" spans="1:3" x14ac:dyDescent="0.3">
      <c r="A801" s="101">
        <v>43046</v>
      </c>
      <c r="B801" s="96" t="s">
        <v>8</v>
      </c>
      <c r="C801" s="96">
        <v>119</v>
      </c>
    </row>
    <row r="802" spans="1:3" x14ac:dyDescent="0.3">
      <c r="A802" s="101">
        <v>43045</v>
      </c>
      <c r="B802" s="96" t="s">
        <v>8</v>
      </c>
      <c r="C802" s="96">
        <v>178</v>
      </c>
    </row>
    <row r="803" spans="1:3" x14ac:dyDescent="0.3">
      <c r="A803" s="101">
        <v>43041</v>
      </c>
      <c r="B803" s="96" t="s">
        <v>13</v>
      </c>
      <c r="C803" s="96">
        <v>171</v>
      </c>
    </row>
    <row r="804" spans="1:3" x14ac:dyDescent="0.3">
      <c r="A804" s="101">
        <v>43040</v>
      </c>
      <c r="B804" s="96" t="s">
        <v>13</v>
      </c>
      <c r="C804" s="96">
        <v>33</v>
      </c>
    </row>
    <row r="805" spans="1:3" x14ac:dyDescent="0.3">
      <c r="A805" s="101">
        <v>43044</v>
      </c>
      <c r="B805" s="96" t="s">
        <v>7</v>
      </c>
      <c r="C805" s="96">
        <v>32</v>
      </c>
    </row>
    <row r="806" spans="1:3" x14ac:dyDescent="0.3">
      <c r="A806" s="101">
        <v>43045</v>
      </c>
      <c r="B806" s="96" t="s">
        <v>5</v>
      </c>
      <c r="C806" s="96">
        <v>24</v>
      </c>
    </row>
    <row r="807" spans="1:3" x14ac:dyDescent="0.3">
      <c r="A807" s="101">
        <v>43043</v>
      </c>
      <c r="B807" s="96" t="s">
        <v>5</v>
      </c>
      <c r="C807" s="96">
        <v>166</v>
      </c>
    </row>
    <row r="808" spans="1:3" x14ac:dyDescent="0.3">
      <c r="A808" s="101">
        <v>43043</v>
      </c>
      <c r="B808" s="96" t="s">
        <v>7</v>
      </c>
      <c r="C808" s="96">
        <v>107</v>
      </c>
    </row>
    <row r="809" spans="1:3" x14ac:dyDescent="0.3">
      <c r="A809" s="101">
        <v>43040</v>
      </c>
      <c r="B809" s="96" t="s">
        <v>7</v>
      </c>
      <c r="C809" s="96">
        <v>179</v>
      </c>
    </row>
    <row r="810" spans="1:3" x14ac:dyDescent="0.3">
      <c r="A810" s="101">
        <v>43043</v>
      </c>
      <c r="B810" s="96" t="s">
        <v>7</v>
      </c>
      <c r="C810" s="96">
        <v>164</v>
      </c>
    </row>
    <row r="811" spans="1:3" x14ac:dyDescent="0.3">
      <c r="A811" s="101">
        <v>43045</v>
      </c>
      <c r="B811" s="96" t="s">
        <v>8</v>
      </c>
      <c r="C811" s="96">
        <v>175</v>
      </c>
    </row>
    <row r="812" spans="1:3" x14ac:dyDescent="0.3">
      <c r="A812" s="101">
        <v>43043</v>
      </c>
      <c r="B812" s="96" t="s">
        <v>5</v>
      </c>
      <c r="C812" s="96">
        <v>55</v>
      </c>
    </row>
    <row r="813" spans="1:3" x14ac:dyDescent="0.3">
      <c r="A813" s="101">
        <v>43046</v>
      </c>
      <c r="B813" s="96" t="s">
        <v>8</v>
      </c>
      <c r="C813" s="96">
        <v>165</v>
      </c>
    </row>
    <row r="814" spans="1:3" x14ac:dyDescent="0.3">
      <c r="A814" s="101">
        <v>43047</v>
      </c>
      <c r="B814" s="96" t="s">
        <v>5</v>
      </c>
      <c r="C814" s="96">
        <v>142</v>
      </c>
    </row>
    <row r="815" spans="1:3" x14ac:dyDescent="0.3">
      <c r="A815" s="101">
        <v>43041</v>
      </c>
      <c r="B815" s="96" t="s">
        <v>8</v>
      </c>
      <c r="C815" s="96">
        <v>67</v>
      </c>
    </row>
    <row r="816" spans="1:3" x14ac:dyDescent="0.3">
      <c r="A816" s="101">
        <v>43046</v>
      </c>
      <c r="B816" s="96" t="s">
        <v>8</v>
      </c>
      <c r="C816" s="96">
        <v>73</v>
      </c>
    </row>
    <row r="817" spans="1:3" x14ac:dyDescent="0.3">
      <c r="A817" s="101">
        <v>43044</v>
      </c>
      <c r="B817" s="96" t="s">
        <v>13</v>
      </c>
      <c r="C817" s="96">
        <v>21</v>
      </c>
    </row>
    <row r="818" spans="1:3" x14ac:dyDescent="0.3">
      <c r="A818" s="101">
        <v>43047</v>
      </c>
      <c r="B818" s="96" t="s">
        <v>8</v>
      </c>
      <c r="C818" s="96">
        <v>40</v>
      </c>
    </row>
    <row r="819" spans="1:3" x14ac:dyDescent="0.3">
      <c r="A819" s="101">
        <v>43042</v>
      </c>
      <c r="B819" s="96" t="s">
        <v>13</v>
      </c>
      <c r="C819" s="96">
        <v>175</v>
      </c>
    </row>
    <row r="820" spans="1:3" x14ac:dyDescent="0.3">
      <c r="A820" s="101">
        <v>43040</v>
      </c>
      <c r="B820" s="96" t="s">
        <v>5</v>
      </c>
      <c r="C820" s="96">
        <v>187</v>
      </c>
    </row>
    <row r="821" spans="1:3" x14ac:dyDescent="0.3">
      <c r="A821" s="101">
        <v>43045</v>
      </c>
      <c r="B821" s="96" t="s">
        <v>13</v>
      </c>
      <c r="C821" s="96">
        <v>167</v>
      </c>
    </row>
    <row r="822" spans="1:3" x14ac:dyDescent="0.3">
      <c r="A822" s="101">
        <v>43046</v>
      </c>
      <c r="B822" s="96" t="s">
        <v>5</v>
      </c>
      <c r="C822" s="96">
        <v>70</v>
      </c>
    </row>
    <row r="823" spans="1:3" x14ac:dyDescent="0.3">
      <c r="A823" s="101">
        <v>43043</v>
      </c>
      <c r="B823" s="96" t="s">
        <v>5</v>
      </c>
      <c r="C823" s="96">
        <v>72</v>
      </c>
    </row>
    <row r="824" spans="1:3" x14ac:dyDescent="0.3">
      <c r="A824" s="101">
        <v>43047</v>
      </c>
      <c r="B824" s="96" t="s">
        <v>8</v>
      </c>
      <c r="C824" s="96">
        <v>103</v>
      </c>
    </row>
    <row r="825" spans="1:3" x14ac:dyDescent="0.3">
      <c r="A825" s="101">
        <v>43044</v>
      </c>
      <c r="B825" s="96" t="s">
        <v>5</v>
      </c>
      <c r="C825" s="96">
        <v>88</v>
      </c>
    </row>
    <row r="826" spans="1:3" x14ac:dyDescent="0.3">
      <c r="A826" s="101">
        <v>43043</v>
      </c>
      <c r="B826" s="96" t="s">
        <v>5</v>
      </c>
      <c r="C826" s="96">
        <v>134</v>
      </c>
    </row>
    <row r="827" spans="1:3" x14ac:dyDescent="0.3">
      <c r="A827" s="101">
        <v>43045</v>
      </c>
      <c r="B827" s="96" t="s">
        <v>8</v>
      </c>
      <c r="C827" s="96">
        <v>40</v>
      </c>
    </row>
    <row r="828" spans="1:3" x14ac:dyDescent="0.3">
      <c r="A828" s="101">
        <v>43041</v>
      </c>
      <c r="B828" s="96" t="s">
        <v>13</v>
      </c>
      <c r="C828" s="96">
        <v>19</v>
      </c>
    </row>
    <row r="829" spans="1:3" x14ac:dyDescent="0.3">
      <c r="A829" s="101">
        <v>43043</v>
      </c>
      <c r="B829" s="96" t="s">
        <v>8</v>
      </c>
      <c r="C829" s="96">
        <v>6</v>
      </c>
    </row>
    <row r="830" spans="1:3" x14ac:dyDescent="0.3">
      <c r="A830" s="101">
        <v>43044</v>
      </c>
      <c r="B830" s="96" t="s">
        <v>8</v>
      </c>
      <c r="C830" s="96">
        <v>93</v>
      </c>
    </row>
    <row r="831" spans="1:3" x14ac:dyDescent="0.3">
      <c r="A831" s="101">
        <v>43045</v>
      </c>
      <c r="B831" s="96" t="s">
        <v>8</v>
      </c>
      <c r="C831" s="96">
        <v>147</v>
      </c>
    </row>
    <row r="832" spans="1:3" x14ac:dyDescent="0.3">
      <c r="A832" s="101">
        <v>43046</v>
      </c>
      <c r="B832" s="96" t="s">
        <v>13</v>
      </c>
      <c r="C832" s="96">
        <v>37</v>
      </c>
    </row>
    <row r="833" spans="1:3" x14ac:dyDescent="0.3">
      <c r="A833" s="101">
        <v>43045</v>
      </c>
      <c r="B833" s="96" t="s">
        <v>13</v>
      </c>
      <c r="C833" s="96">
        <v>8</v>
      </c>
    </row>
    <row r="834" spans="1:3" x14ac:dyDescent="0.3">
      <c r="A834" s="101">
        <v>43044</v>
      </c>
      <c r="B834" s="96" t="s">
        <v>7</v>
      </c>
      <c r="C834" s="96">
        <v>137</v>
      </c>
    </row>
    <row r="835" spans="1:3" x14ac:dyDescent="0.3">
      <c r="A835" s="101">
        <v>43041</v>
      </c>
      <c r="B835" s="96" t="s">
        <v>13</v>
      </c>
      <c r="C835" s="96">
        <v>100</v>
      </c>
    </row>
    <row r="836" spans="1:3" x14ac:dyDescent="0.3">
      <c r="A836" s="101">
        <v>43045</v>
      </c>
      <c r="B836" s="96" t="s">
        <v>5</v>
      </c>
      <c r="C836" s="96">
        <v>143</v>
      </c>
    </row>
    <row r="837" spans="1:3" x14ac:dyDescent="0.3">
      <c r="A837" s="101">
        <v>43046</v>
      </c>
      <c r="B837" s="96" t="s">
        <v>13</v>
      </c>
      <c r="C837" s="96">
        <v>99</v>
      </c>
    </row>
    <row r="838" spans="1:3" x14ac:dyDescent="0.3">
      <c r="A838" s="101">
        <v>43046</v>
      </c>
      <c r="B838" s="96" t="s">
        <v>7</v>
      </c>
      <c r="C838" s="96">
        <v>171</v>
      </c>
    </row>
    <row r="839" spans="1:3" x14ac:dyDescent="0.3">
      <c r="A839" s="101">
        <v>43047</v>
      </c>
      <c r="B839" s="96" t="s">
        <v>13</v>
      </c>
      <c r="C839" s="96">
        <v>30</v>
      </c>
    </row>
    <row r="840" spans="1:3" x14ac:dyDescent="0.3">
      <c r="A840" s="101">
        <v>43046</v>
      </c>
      <c r="B840" s="96" t="s">
        <v>13</v>
      </c>
      <c r="C840" s="96">
        <v>145</v>
      </c>
    </row>
    <row r="841" spans="1:3" x14ac:dyDescent="0.3">
      <c r="A841" s="101">
        <v>43041</v>
      </c>
      <c r="B841" s="96" t="s">
        <v>8</v>
      </c>
      <c r="C841" s="96">
        <v>125</v>
      </c>
    </row>
    <row r="842" spans="1:3" x14ac:dyDescent="0.3">
      <c r="A842" s="101">
        <v>43042</v>
      </c>
      <c r="B842" s="96" t="s">
        <v>13</v>
      </c>
      <c r="C842" s="96">
        <v>25</v>
      </c>
    </row>
    <row r="843" spans="1:3" x14ac:dyDescent="0.3">
      <c r="A843" s="101">
        <v>43045</v>
      </c>
      <c r="B843" s="96" t="s">
        <v>5</v>
      </c>
      <c r="C843" s="96">
        <v>126</v>
      </c>
    </row>
    <row r="844" spans="1:3" x14ac:dyDescent="0.3">
      <c r="A844" s="101">
        <v>43045</v>
      </c>
      <c r="B844" s="96" t="s">
        <v>13</v>
      </c>
      <c r="C844" s="96">
        <v>18</v>
      </c>
    </row>
    <row r="845" spans="1:3" x14ac:dyDescent="0.3">
      <c r="A845" s="101">
        <v>43044</v>
      </c>
      <c r="B845" s="96" t="s">
        <v>5</v>
      </c>
      <c r="C845" s="96">
        <v>161</v>
      </c>
    </row>
    <row r="846" spans="1:3" x14ac:dyDescent="0.3">
      <c r="A846" s="101">
        <v>43043</v>
      </c>
      <c r="B846" s="96" t="s">
        <v>13</v>
      </c>
      <c r="C846" s="96">
        <v>166</v>
      </c>
    </row>
    <row r="847" spans="1:3" x14ac:dyDescent="0.3">
      <c r="A847" s="101">
        <v>43042</v>
      </c>
      <c r="B847" s="96" t="s">
        <v>5</v>
      </c>
      <c r="C847" s="96">
        <v>29</v>
      </c>
    </row>
    <row r="848" spans="1:3" x14ac:dyDescent="0.3">
      <c r="A848" s="101">
        <v>43041</v>
      </c>
      <c r="B848" s="96" t="s">
        <v>7</v>
      </c>
      <c r="C848" s="96">
        <v>63</v>
      </c>
    </row>
    <row r="849" spans="1:3" x14ac:dyDescent="0.3">
      <c r="A849" s="101">
        <v>43043</v>
      </c>
      <c r="B849" s="96" t="s">
        <v>7</v>
      </c>
      <c r="C849" s="96">
        <v>11</v>
      </c>
    </row>
    <row r="850" spans="1:3" x14ac:dyDescent="0.3">
      <c r="A850" s="101">
        <v>43044</v>
      </c>
      <c r="B850" s="96" t="s">
        <v>8</v>
      </c>
      <c r="C850" s="96">
        <v>157</v>
      </c>
    </row>
    <row r="851" spans="1:3" x14ac:dyDescent="0.3">
      <c r="A851" s="101">
        <v>43042</v>
      </c>
      <c r="B851" s="96" t="s">
        <v>13</v>
      </c>
      <c r="C851" s="96">
        <v>12</v>
      </c>
    </row>
    <row r="852" spans="1:3" x14ac:dyDescent="0.3">
      <c r="A852" s="101">
        <v>43045</v>
      </c>
      <c r="B852" s="96" t="s">
        <v>8</v>
      </c>
      <c r="C852" s="96">
        <v>71</v>
      </c>
    </row>
    <row r="853" spans="1:3" x14ac:dyDescent="0.3">
      <c r="A853" s="101">
        <v>43043</v>
      </c>
      <c r="B853" s="96" t="s">
        <v>5</v>
      </c>
      <c r="C853" s="96">
        <v>153</v>
      </c>
    </row>
    <row r="854" spans="1:3" x14ac:dyDescent="0.3">
      <c r="A854" s="101">
        <v>43044</v>
      </c>
      <c r="B854" s="96" t="s">
        <v>7</v>
      </c>
      <c r="C854" s="96">
        <v>95</v>
      </c>
    </row>
    <row r="855" spans="1:3" x14ac:dyDescent="0.3">
      <c r="A855" s="101">
        <v>43044</v>
      </c>
      <c r="B855" s="96" t="s">
        <v>7</v>
      </c>
      <c r="C855" s="96">
        <v>31</v>
      </c>
    </row>
    <row r="856" spans="1:3" x14ac:dyDescent="0.3">
      <c r="A856" s="101">
        <v>43044</v>
      </c>
      <c r="B856" s="96" t="s">
        <v>5</v>
      </c>
      <c r="C856" s="96">
        <v>47</v>
      </c>
    </row>
    <row r="857" spans="1:3" x14ac:dyDescent="0.3">
      <c r="A857" s="101">
        <v>43044</v>
      </c>
      <c r="B857" s="96" t="s">
        <v>5</v>
      </c>
      <c r="C857" s="96">
        <v>147</v>
      </c>
    </row>
    <row r="858" spans="1:3" x14ac:dyDescent="0.3">
      <c r="A858" s="101">
        <v>43047</v>
      </c>
      <c r="B858" s="96" t="s">
        <v>13</v>
      </c>
      <c r="C858" s="96">
        <v>135</v>
      </c>
    </row>
    <row r="859" spans="1:3" x14ac:dyDescent="0.3">
      <c r="A859" s="101">
        <v>43040</v>
      </c>
      <c r="B859" s="96" t="s">
        <v>13</v>
      </c>
      <c r="C859" s="96">
        <v>78</v>
      </c>
    </row>
    <row r="860" spans="1:3" x14ac:dyDescent="0.3">
      <c r="A860" s="101">
        <v>43046</v>
      </c>
      <c r="B860" s="96" t="s">
        <v>13</v>
      </c>
      <c r="C860" s="96">
        <v>94</v>
      </c>
    </row>
    <row r="861" spans="1:3" x14ac:dyDescent="0.3">
      <c r="A861" s="101">
        <v>43040</v>
      </c>
      <c r="B861" s="96" t="s">
        <v>8</v>
      </c>
      <c r="C861" s="96">
        <v>97</v>
      </c>
    </row>
    <row r="862" spans="1:3" x14ac:dyDescent="0.3">
      <c r="A862" s="101">
        <v>43045</v>
      </c>
      <c r="B862" s="96" t="s">
        <v>7</v>
      </c>
      <c r="C862" s="96">
        <v>170</v>
      </c>
    </row>
    <row r="863" spans="1:3" x14ac:dyDescent="0.3">
      <c r="A863" s="101">
        <v>43046</v>
      </c>
      <c r="B863" s="96" t="s">
        <v>7</v>
      </c>
      <c r="C863" s="96">
        <v>100</v>
      </c>
    </row>
    <row r="864" spans="1:3" x14ac:dyDescent="0.3">
      <c r="A864" s="101">
        <v>43041</v>
      </c>
      <c r="B864" s="96" t="s">
        <v>13</v>
      </c>
      <c r="C864" s="96">
        <v>57</v>
      </c>
    </row>
    <row r="865" spans="1:3" x14ac:dyDescent="0.3">
      <c r="A865" s="101">
        <v>43044</v>
      </c>
      <c r="B865" s="96" t="s">
        <v>5</v>
      </c>
      <c r="C865" s="96">
        <v>133</v>
      </c>
    </row>
    <row r="866" spans="1:3" x14ac:dyDescent="0.3">
      <c r="A866" s="101">
        <v>43045</v>
      </c>
      <c r="B866" s="96" t="s">
        <v>8</v>
      </c>
      <c r="C866" s="96">
        <v>176</v>
      </c>
    </row>
    <row r="867" spans="1:3" x14ac:dyDescent="0.3">
      <c r="A867" s="101">
        <v>43041</v>
      </c>
      <c r="B867" s="96" t="s">
        <v>13</v>
      </c>
      <c r="C867" s="96">
        <v>165</v>
      </c>
    </row>
    <row r="868" spans="1:3" x14ac:dyDescent="0.3">
      <c r="A868" s="101">
        <v>43040</v>
      </c>
      <c r="B868" s="96" t="s">
        <v>8</v>
      </c>
      <c r="C868" s="96">
        <v>182</v>
      </c>
    </row>
    <row r="869" spans="1:3" x14ac:dyDescent="0.3">
      <c r="A869" s="101">
        <v>43043</v>
      </c>
      <c r="B869" s="96" t="s">
        <v>7</v>
      </c>
      <c r="C869" s="96">
        <v>72</v>
      </c>
    </row>
    <row r="870" spans="1:3" x14ac:dyDescent="0.3">
      <c r="A870" s="101">
        <v>43045</v>
      </c>
      <c r="B870" s="96" t="s">
        <v>7</v>
      </c>
      <c r="C870" s="96">
        <v>45</v>
      </c>
    </row>
    <row r="871" spans="1:3" x14ac:dyDescent="0.3">
      <c r="A871" s="101">
        <v>43047</v>
      </c>
      <c r="B871" s="96" t="s">
        <v>5</v>
      </c>
      <c r="C871" s="96">
        <v>52</v>
      </c>
    </row>
    <row r="872" spans="1:3" x14ac:dyDescent="0.3">
      <c r="A872" s="101">
        <v>43047</v>
      </c>
      <c r="B872" s="96" t="s">
        <v>8</v>
      </c>
      <c r="C872" s="96">
        <v>10</v>
      </c>
    </row>
    <row r="873" spans="1:3" x14ac:dyDescent="0.3">
      <c r="A873" s="101">
        <v>43046</v>
      </c>
      <c r="B873" s="96" t="s">
        <v>13</v>
      </c>
      <c r="C873" s="96">
        <v>167</v>
      </c>
    </row>
    <row r="874" spans="1:3" x14ac:dyDescent="0.3">
      <c r="A874" s="101">
        <v>43041</v>
      </c>
      <c r="B874" s="96" t="s">
        <v>13</v>
      </c>
      <c r="C874" s="96">
        <v>49</v>
      </c>
    </row>
    <row r="875" spans="1:3" x14ac:dyDescent="0.3">
      <c r="A875" s="101">
        <v>43044</v>
      </c>
      <c r="B875" s="96" t="s">
        <v>8</v>
      </c>
      <c r="C875" s="96">
        <v>51</v>
      </c>
    </row>
    <row r="876" spans="1:3" x14ac:dyDescent="0.3">
      <c r="A876" s="101">
        <v>43044</v>
      </c>
      <c r="B876" s="96" t="s">
        <v>8</v>
      </c>
      <c r="C876" s="96">
        <v>146</v>
      </c>
    </row>
    <row r="877" spans="1:3" x14ac:dyDescent="0.3">
      <c r="A877" s="101">
        <v>43043</v>
      </c>
      <c r="B877" s="96" t="s">
        <v>7</v>
      </c>
      <c r="C877" s="96">
        <v>138</v>
      </c>
    </row>
    <row r="878" spans="1:3" x14ac:dyDescent="0.3">
      <c r="A878" s="101">
        <v>43047</v>
      </c>
      <c r="B878" s="96" t="s">
        <v>7</v>
      </c>
      <c r="C878" s="96">
        <v>162</v>
      </c>
    </row>
    <row r="879" spans="1:3" x14ac:dyDescent="0.3">
      <c r="A879" s="101">
        <v>43046</v>
      </c>
      <c r="B879" s="96" t="s">
        <v>8</v>
      </c>
      <c r="C879" s="96">
        <v>134</v>
      </c>
    </row>
    <row r="880" spans="1:3" x14ac:dyDescent="0.3">
      <c r="A880" s="101">
        <v>43046</v>
      </c>
      <c r="B880" s="96" t="s">
        <v>7</v>
      </c>
      <c r="C880" s="96">
        <v>177</v>
      </c>
    </row>
    <row r="881" spans="1:3" x14ac:dyDescent="0.3">
      <c r="A881" s="101">
        <v>43046</v>
      </c>
      <c r="B881" s="96" t="s">
        <v>13</v>
      </c>
      <c r="C881" s="96">
        <v>131</v>
      </c>
    </row>
    <row r="882" spans="1:3" x14ac:dyDescent="0.3">
      <c r="A882" s="101">
        <v>43045</v>
      </c>
      <c r="B882" s="96" t="s">
        <v>13</v>
      </c>
      <c r="C882" s="96">
        <v>97</v>
      </c>
    </row>
    <row r="883" spans="1:3" x14ac:dyDescent="0.3">
      <c r="A883" s="101">
        <v>43040</v>
      </c>
      <c r="B883" s="96" t="s">
        <v>8</v>
      </c>
      <c r="C883" s="96">
        <v>67</v>
      </c>
    </row>
    <row r="884" spans="1:3" x14ac:dyDescent="0.3">
      <c r="A884" s="101">
        <v>43047</v>
      </c>
      <c r="B884" s="96" t="s">
        <v>8</v>
      </c>
      <c r="C884" s="96">
        <v>91</v>
      </c>
    </row>
    <row r="885" spans="1:3" x14ac:dyDescent="0.3">
      <c r="A885" s="101">
        <v>43045</v>
      </c>
      <c r="B885" s="96" t="s">
        <v>7</v>
      </c>
      <c r="C885" s="96">
        <v>24</v>
      </c>
    </row>
    <row r="886" spans="1:3" x14ac:dyDescent="0.3">
      <c r="A886" s="101">
        <v>43047</v>
      </c>
      <c r="B886" s="96" t="s">
        <v>8</v>
      </c>
      <c r="C886" s="96">
        <v>84</v>
      </c>
    </row>
    <row r="887" spans="1:3" x14ac:dyDescent="0.3">
      <c r="A887" s="101">
        <v>43042</v>
      </c>
      <c r="B887" s="96" t="s">
        <v>7</v>
      </c>
      <c r="C887" s="96">
        <v>137</v>
      </c>
    </row>
    <row r="888" spans="1:3" x14ac:dyDescent="0.3">
      <c r="A888" s="101">
        <v>43045</v>
      </c>
      <c r="B888" s="96" t="s">
        <v>8</v>
      </c>
      <c r="C888" s="96">
        <v>176</v>
      </c>
    </row>
    <row r="889" spans="1:3" x14ac:dyDescent="0.3">
      <c r="A889" s="101">
        <v>43045</v>
      </c>
      <c r="B889" s="96" t="s">
        <v>13</v>
      </c>
      <c r="C889" s="96">
        <v>30</v>
      </c>
    </row>
    <row r="890" spans="1:3" x14ac:dyDescent="0.3">
      <c r="A890" s="101">
        <v>43042</v>
      </c>
      <c r="B890" s="96" t="s">
        <v>7</v>
      </c>
      <c r="C890" s="96">
        <v>7</v>
      </c>
    </row>
    <row r="891" spans="1:3" x14ac:dyDescent="0.3">
      <c r="A891" s="101">
        <v>43046</v>
      </c>
      <c r="B891" s="96" t="s">
        <v>8</v>
      </c>
      <c r="C891" s="96">
        <v>168</v>
      </c>
    </row>
    <row r="892" spans="1:3" x14ac:dyDescent="0.3">
      <c r="A892" s="101">
        <v>43045</v>
      </c>
      <c r="B892" s="96" t="s">
        <v>5</v>
      </c>
      <c r="C892" s="96">
        <v>23</v>
      </c>
    </row>
    <row r="893" spans="1:3" x14ac:dyDescent="0.3">
      <c r="A893" s="101">
        <v>43040</v>
      </c>
      <c r="B893" s="96" t="s">
        <v>13</v>
      </c>
      <c r="C893" s="96">
        <v>109</v>
      </c>
    </row>
    <row r="894" spans="1:3" x14ac:dyDescent="0.3">
      <c r="A894" s="101">
        <v>43043</v>
      </c>
      <c r="B894" s="96" t="s">
        <v>8</v>
      </c>
      <c r="C894" s="96">
        <v>45</v>
      </c>
    </row>
    <row r="895" spans="1:3" x14ac:dyDescent="0.3">
      <c r="A895" s="101">
        <v>43040</v>
      </c>
      <c r="B895" s="96" t="s">
        <v>5</v>
      </c>
      <c r="C895" s="96">
        <v>86</v>
      </c>
    </row>
    <row r="896" spans="1:3" x14ac:dyDescent="0.3">
      <c r="A896" s="101">
        <v>43043</v>
      </c>
      <c r="B896" s="96" t="s">
        <v>8</v>
      </c>
      <c r="C896" s="96">
        <v>130</v>
      </c>
    </row>
    <row r="897" spans="1:3" x14ac:dyDescent="0.3">
      <c r="A897" s="101">
        <v>43041</v>
      </c>
      <c r="B897" s="96" t="s">
        <v>8</v>
      </c>
      <c r="C897" s="96">
        <v>61</v>
      </c>
    </row>
    <row r="898" spans="1:3" x14ac:dyDescent="0.3">
      <c r="A898" s="101">
        <v>43044</v>
      </c>
      <c r="B898" s="96" t="s">
        <v>8</v>
      </c>
      <c r="C898" s="96">
        <v>134</v>
      </c>
    </row>
    <row r="899" spans="1:3" x14ac:dyDescent="0.3">
      <c r="A899" s="101">
        <v>43047</v>
      </c>
      <c r="B899" s="96" t="s">
        <v>5</v>
      </c>
      <c r="C899" s="96">
        <v>62</v>
      </c>
    </row>
    <row r="900" spans="1:3" x14ac:dyDescent="0.3">
      <c r="A900" s="101">
        <v>43044</v>
      </c>
      <c r="B900" s="96" t="s">
        <v>7</v>
      </c>
      <c r="C900" s="96">
        <v>85</v>
      </c>
    </row>
    <row r="901" spans="1:3" x14ac:dyDescent="0.3">
      <c r="A901" s="101">
        <v>43042</v>
      </c>
      <c r="B901" s="96" t="s">
        <v>13</v>
      </c>
      <c r="C901" s="96">
        <v>22</v>
      </c>
    </row>
    <row r="902" spans="1:3" x14ac:dyDescent="0.3">
      <c r="A902" s="101">
        <v>43040</v>
      </c>
      <c r="B902" s="96" t="s">
        <v>7</v>
      </c>
      <c r="C902" s="96">
        <v>2</v>
      </c>
    </row>
    <row r="903" spans="1:3" x14ac:dyDescent="0.3">
      <c r="A903" s="101">
        <v>43047</v>
      </c>
      <c r="B903" s="96" t="s">
        <v>5</v>
      </c>
      <c r="C903" s="96">
        <v>89</v>
      </c>
    </row>
    <row r="904" spans="1:3" x14ac:dyDescent="0.3">
      <c r="A904" s="101">
        <v>43044</v>
      </c>
      <c r="B904" s="96" t="s">
        <v>5</v>
      </c>
      <c r="C904" s="96">
        <v>142</v>
      </c>
    </row>
    <row r="905" spans="1:3" x14ac:dyDescent="0.3">
      <c r="A905" s="101">
        <v>43040</v>
      </c>
      <c r="B905" s="96" t="s">
        <v>13</v>
      </c>
      <c r="C905" s="96">
        <v>182</v>
      </c>
    </row>
    <row r="906" spans="1:3" x14ac:dyDescent="0.3">
      <c r="A906" s="101">
        <v>43043</v>
      </c>
      <c r="B906" s="96" t="s">
        <v>5</v>
      </c>
      <c r="C906" s="96">
        <v>165</v>
      </c>
    </row>
    <row r="907" spans="1:3" x14ac:dyDescent="0.3">
      <c r="A907" s="101">
        <v>43040</v>
      </c>
      <c r="B907" s="96" t="s">
        <v>5</v>
      </c>
      <c r="C907" s="96">
        <v>128</v>
      </c>
    </row>
    <row r="908" spans="1:3" x14ac:dyDescent="0.3">
      <c r="A908" s="101">
        <v>43042</v>
      </c>
      <c r="B908" s="96" t="s">
        <v>7</v>
      </c>
      <c r="C908" s="96">
        <v>180</v>
      </c>
    </row>
    <row r="909" spans="1:3" x14ac:dyDescent="0.3">
      <c r="A909" s="101">
        <v>43040</v>
      </c>
      <c r="B909" s="96" t="s">
        <v>8</v>
      </c>
      <c r="C909" s="96">
        <v>89</v>
      </c>
    </row>
    <row r="910" spans="1:3" x14ac:dyDescent="0.3">
      <c r="A910" s="101">
        <v>43045</v>
      </c>
      <c r="B910" s="96" t="s">
        <v>5</v>
      </c>
      <c r="C910" s="96">
        <v>134</v>
      </c>
    </row>
    <row r="911" spans="1:3" x14ac:dyDescent="0.3">
      <c r="A911" s="101">
        <v>43043</v>
      </c>
      <c r="B911" s="96" t="s">
        <v>7</v>
      </c>
      <c r="C911" s="96">
        <v>191</v>
      </c>
    </row>
    <row r="912" spans="1:3" x14ac:dyDescent="0.3">
      <c r="A912" s="101">
        <v>43041</v>
      </c>
      <c r="B912" s="96" t="s">
        <v>13</v>
      </c>
      <c r="C912" s="96">
        <v>191</v>
      </c>
    </row>
    <row r="913" spans="1:3" x14ac:dyDescent="0.3">
      <c r="A913" s="101">
        <v>43046</v>
      </c>
      <c r="B913" s="96" t="s">
        <v>13</v>
      </c>
      <c r="C913" s="96">
        <v>81</v>
      </c>
    </row>
    <row r="914" spans="1:3" x14ac:dyDescent="0.3">
      <c r="A914" s="101">
        <v>43044</v>
      </c>
      <c r="B914" s="96" t="s">
        <v>8</v>
      </c>
      <c r="C914" s="96">
        <v>164</v>
      </c>
    </row>
    <row r="915" spans="1:3" x14ac:dyDescent="0.3">
      <c r="A915" s="101">
        <v>43043</v>
      </c>
      <c r="B915" s="96" t="s">
        <v>7</v>
      </c>
      <c r="C915" s="96">
        <v>65</v>
      </c>
    </row>
    <row r="916" spans="1:3" x14ac:dyDescent="0.3">
      <c r="A916" s="101">
        <v>43043</v>
      </c>
      <c r="B916" s="96" t="s">
        <v>7</v>
      </c>
      <c r="C916" s="96">
        <v>183</v>
      </c>
    </row>
    <row r="917" spans="1:3" x14ac:dyDescent="0.3">
      <c r="A917" s="101">
        <v>43040</v>
      </c>
      <c r="B917" s="96" t="s">
        <v>5</v>
      </c>
      <c r="C917" s="96">
        <v>82</v>
      </c>
    </row>
    <row r="918" spans="1:3" x14ac:dyDescent="0.3">
      <c r="A918" s="101">
        <v>43041</v>
      </c>
      <c r="B918" s="96" t="s">
        <v>7</v>
      </c>
      <c r="C918" s="96">
        <v>75</v>
      </c>
    </row>
    <row r="919" spans="1:3" x14ac:dyDescent="0.3">
      <c r="A919" s="101">
        <v>43041</v>
      </c>
      <c r="B919" s="96" t="s">
        <v>5</v>
      </c>
      <c r="C919" s="96">
        <v>88</v>
      </c>
    </row>
    <row r="920" spans="1:3" x14ac:dyDescent="0.3">
      <c r="A920" s="101">
        <v>43047</v>
      </c>
      <c r="B920" s="96" t="s">
        <v>5</v>
      </c>
      <c r="C920" s="96">
        <v>14</v>
      </c>
    </row>
    <row r="921" spans="1:3" x14ac:dyDescent="0.3">
      <c r="A921" s="101">
        <v>43044</v>
      </c>
      <c r="B921" s="96" t="s">
        <v>5</v>
      </c>
      <c r="C921" s="96">
        <v>124</v>
      </c>
    </row>
    <row r="922" spans="1:3" x14ac:dyDescent="0.3">
      <c r="A922" s="101">
        <v>43043</v>
      </c>
      <c r="B922" s="96" t="s">
        <v>7</v>
      </c>
      <c r="C922" s="96">
        <v>153</v>
      </c>
    </row>
    <row r="923" spans="1:3" x14ac:dyDescent="0.3">
      <c r="A923" s="101">
        <v>43043</v>
      </c>
      <c r="B923" s="96" t="s">
        <v>13</v>
      </c>
      <c r="C923" s="96">
        <v>113</v>
      </c>
    </row>
    <row r="924" spans="1:3" x14ac:dyDescent="0.3">
      <c r="A924" s="101">
        <v>43047</v>
      </c>
      <c r="B924" s="96" t="s">
        <v>5</v>
      </c>
      <c r="C924" s="96">
        <v>94</v>
      </c>
    </row>
    <row r="925" spans="1:3" x14ac:dyDescent="0.3">
      <c r="A925" s="101">
        <v>43042</v>
      </c>
      <c r="B925" s="96" t="s">
        <v>7</v>
      </c>
      <c r="C925" s="96">
        <v>16</v>
      </c>
    </row>
    <row r="926" spans="1:3" x14ac:dyDescent="0.3">
      <c r="A926" s="101">
        <v>43046</v>
      </c>
      <c r="B926" s="96" t="s">
        <v>13</v>
      </c>
      <c r="C926" s="96">
        <v>156</v>
      </c>
    </row>
    <row r="927" spans="1:3" x14ac:dyDescent="0.3">
      <c r="A927" s="101">
        <v>43042</v>
      </c>
      <c r="B927" s="96" t="s">
        <v>13</v>
      </c>
      <c r="C927" s="96">
        <v>16</v>
      </c>
    </row>
    <row r="928" spans="1:3" x14ac:dyDescent="0.3">
      <c r="A928" s="101">
        <v>43041</v>
      </c>
      <c r="B928" s="96" t="s">
        <v>13</v>
      </c>
      <c r="C928" s="96">
        <v>165</v>
      </c>
    </row>
    <row r="929" spans="1:3" x14ac:dyDescent="0.3">
      <c r="A929" s="101">
        <v>43042</v>
      </c>
      <c r="B929" s="96" t="s">
        <v>5</v>
      </c>
      <c r="C929" s="96">
        <v>108</v>
      </c>
    </row>
    <row r="930" spans="1:3" x14ac:dyDescent="0.3">
      <c r="A930" s="101">
        <v>43045</v>
      </c>
      <c r="B930" s="96" t="s">
        <v>7</v>
      </c>
      <c r="C930" s="96">
        <v>158</v>
      </c>
    </row>
    <row r="931" spans="1:3" x14ac:dyDescent="0.3">
      <c r="A931" s="101">
        <v>43046</v>
      </c>
      <c r="B931" s="96" t="s">
        <v>13</v>
      </c>
      <c r="C931" s="96">
        <v>107</v>
      </c>
    </row>
    <row r="932" spans="1:3" x14ac:dyDescent="0.3">
      <c r="A932" s="101">
        <v>43043</v>
      </c>
      <c r="B932" s="96" t="s">
        <v>8</v>
      </c>
      <c r="C932" s="96">
        <v>127</v>
      </c>
    </row>
    <row r="933" spans="1:3" x14ac:dyDescent="0.3">
      <c r="A933" s="101">
        <v>43047</v>
      </c>
      <c r="B933" s="96" t="s">
        <v>13</v>
      </c>
      <c r="C933" s="96">
        <v>120</v>
      </c>
    </row>
    <row r="934" spans="1:3" x14ac:dyDescent="0.3">
      <c r="A934" s="101">
        <v>43045</v>
      </c>
      <c r="B934" s="96" t="s">
        <v>7</v>
      </c>
      <c r="C934" s="96">
        <v>69</v>
      </c>
    </row>
    <row r="935" spans="1:3" x14ac:dyDescent="0.3">
      <c r="A935" s="101">
        <v>43047</v>
      </c>
      <c r="B935" s="96" t="s">
        <v>7</v>
      </c>
      <c r="C935" s="96">
        <v>186</v>
      </c>
    </row>
    <row r="936" spans="1:3" x14ac:dyDescent="0.3">
      <c r="A936" s="101">
        <v>43044</v>
      </c>
      <c r="B936" s="96" t="s">
        <v>7</v>
      </c>
      <c r="C936" s="96">
        <v>171</v>
      </c>
    </row>
    <row r="937" spans="1:3" x14ac:dyDescent="0.3">
      <c r="A937" s="101">
        <v>43044</v>
      </c>
      <c r="B937" s="96" t="s">
        <v>5</v>
      </c>
      <c r="C937" s="96">
        <v>99</v>
      </c>
    </row>
    <row r="938" spans="1:3" x14ac:dyDescent="0.3">
      <c r="A938" s="101">
        <v>43044</v>
      </c>
      <c r="B938" s="96" t="s">
        <v>8</v>
      </c>
      <c r="C938" s="96">
        <v>164</v>
      </c>
    </row>
    <row r="939" spans="1:3" x14ac:dyDescent="0.3">
      <c r="A939" s="101">
        <v>43041</v>
      </c>
      <c r="B939" s="96" t="s">
        <v>5</v>
      </c>
      <c r="C939" s="96">
        <v>158</v>
      </c>
    </row>
    <row r="940" spans="1:3" x14ac:dyDescent="0.3">
      <c r="A940" s="101">
        <v>43042</v>
      </c>
      <c r="B940" s="96" t="s">
        <v>7</v>
      </c>
      <c r="C940" s="96">
        <v>156</v>
      </c>
    </row>
    <row r="941" spans="1:3" x14ac:dyDescent="0.3">
      <c r="A941" s="101">
        <v>43041</v>
      </c>
      <c r="B941" s="96" t="s">
        <v>8</v>
      </c>
      <c r="C941" s="96">
        <v>152</v>
      </c>
    </row>
    <row r="942" spans="1:3" x14ac:dyDescent="0.3">
      <c r="A942" s="101">
        <v>43046</v>
      </c>
      <c r="B942" s="96" t="s">
        <v>8</v>
      </c>
      <c r="C942" s="96">
        <v>158</v>
      </c>
    </row>
    <row r="943" spans="1:3" x14ac:dyDescent="0.3">
      <c r="A943" s="101">
        <v>43041</v>
      </c>
      <c r="B943" s="96" t="s">
        <v>5</v>
      </c>
      <c r="C943" s="96">
        <v>190</v>
      </c>
    </row>
    <row r="944" spans="1:3" x14ac:dyDescent="0.3">
      <c r="A944" s="101">
        <v>43044</v>
      </c>
      <c r="B944" s="96" t="s">
        <v>13</v>
      </c>
      <c r="C944" s="96">
        <v>11</v>
      </c>
    </row>
    <row r="945" spans="1:3" x14ac:dyDescent="0.3">
      <c r="A945" s="101">
        <v>43045</v>
      </c>
      <c r="B945" s="96" t="s">
        <v>7</v>
      </c>
      <c r="C945" s="96">
        <v>4</v>
      </c>
    </row>
    <row r="946" spans="1:3" x14ac:dyDescent="0.3">
      <c r="A946" s="101">
        <v>43044</v>
      </c>
      <c r="B946" s="96" t="s">
        <v>8</v>
      </c>
      <c r="C946" s="96">
        <v>101</v>
      </c>
    </row>
    <row r="947" spans="1:3" x14ac:dyDescent="0.3">
      <c r="A947" s="101">
        <v>43040</v>
      </c>
      <c r="B947" s="96" t="s">
        <v>7</v>
      </c>
      <c r="C947" s="96">
        <v>8</v>
      </c>
    </row>
    <row r="948" spans="1:3" x14ac:dyDescent="0.3">
      <c r="A948" s="101">
        <v>43047</v>
      </c>
      <c r="B948" s="96" t="s">
        <v>7</v>
      </c>
      <c r="C948" s="96">
        <v>140</v>
      </c>
    </row>
    <row r="949" spans="1:3" x14ac:dyDescent="0.3">
      <c r="A949" s="101">
        <v>43042</v>
      </c>
      <c r="B949" s="96" t="s">
        <v>5</v>
      </c>
      <c r="C949" s="96">
        <v>148</v>
      </c>
    </row>
    <row r="950" spans="1:3" x14ac:dyDescent="0.3">
      <c r="A950" s="101">
        <v>43046</v>
      </c>
      <c r="B950" s="96" t="s">
        <v>7</v>
      </c>
      <c r="C950" s="96">
        <v>174</v>
      </c>
    </row>
    <row r="951" spans="1:3" x14ac:dyDescent="0.3">
      <c r="A951" s="101">
        <v>43046</v>
      </c>
      <c r="B951" s="96" t="s">
        <v>5</v>
      </c>
      <c r="C951" s="96">
        <v>112</v>
      </c>
    </row>
    <row r="952" spans="1:3" x14ac:dyDescent="0.3">
      <c r="A952" s="101">
        <v>43045</v>
      </c>
      <c r="B952" s="96" t="s">
        <v>5</v>
      </c>
      <c r="C952" s="96">
        <v>12</v>
      </c>
    </row>
    <row r="953" spans="1:3" x14ac:dyDescent="0.3">
      <c r="A953" s="101">
        <v>43041</v>
      </c>
      <c r="B953" s="96" t="s">
        <v>7</v>
      </c>
      <c r="C953" s="96">
        <v>55</v>
      </c>
    </row>
    <row r="954" spans="1:3" x14ac:dyDescent="0.3">
      <c r="A954" s="101">
        <v>43045</v>
      </c>
      <c r="B954" s="96" t="s">
        <v>13</v>
      </c>
      <c r="C954" s="96">
        <v>29</v>
      </c>
    </row>
    <row r="955" spans="1:3" x14ac:dyDescent="0.3">
      <c r="A955" s="101">
        <v>43044</v>
      </c>
      <c r="B955" s="96" t="s">
        <v>13</v>
      </c>
      <c r="C955" s="96">
        <v>23</v>
      </c>
    </row>
    <row r="956" spans="1:3" x14ac:dyDescent="0.3">
      <c r="A956" s="101">
        <v>43043</v>
      </c>
      <c r="B956" s="96" t="s">
        <v>13</v>
      </c>
      <c r="C956" s="96">
        <v>31</v>
      </c>
    </row>
    <row r="957" spans="1:3" x14ac:dyDescent="0.3">
      <c r="A957" s="101">
        <v>43041</v>
      </c>
      <c r="B957" s="96" t="s">
        <v>7</v>
      </c>
      <c r="C957" s="96">
        <v>152</v>
      </c>
    </row>
    <row r="958" spans="1:3" x14ac:dyDescent="0.3">
      <c r="A958" s="101">
        <v>43042</v>
      </c>
      <c r="B958" s="96" t="s">
        <v>8</v>
      </c>
      <c r="C958" s="96">
        <v>113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0897F-ED45-496E-91EE-58EBB87056CF}">
  <sheetPr>
    <tabColor rgb="FFFF0000"/>
  </sheetPr>
  <dimension ref="A1:R958"/>
  <sheetViews>
    <sheetView zoomScale="160" zoomScaleNormal="160" workbookViewId="0">
      <selection activeCell="F4" sqref="F4"/>
    </sheetView>
  </sheetViews>
  <sheetFormatPr defaultRowHeight="14.4" x14ac:dyDescent="0.3"/>
  <cols>
    <col min="1" max="1" width="15.109375" customWidth="1"/>
    <col min="2" max="3" width="17.109375" customWidth="1"/>
    <col min="4" max="4" width="12.5546875" customWidth="1"/>
    <col min="5" max="5" width="4.6640625" customWidth="1"/>
    <col min="6" max="6" width="10.88671875" customWidth="1"/>
    <col min="7" max="7" width="15" customWidth="1"/>
    <col min="16" max="16" width="10" bestFit="1" customWidth="1"/>
  </cols>
  <sheetData>
    <row r="1" spans="1:18" x14ac:dyDescent="0.3">
      <c r="A1" s="21" t="s">
        <v>38</v>
      </c>
      <c r="P1" t="s">
        <v>33</v>
      </c>
    </row>
    <row r="3" spans="1:18" x14ac:dyDescent="0.3">
      <c r="A3" s="21" t="s">
        <v>1</v>
      </c>
      <c r="B3" s="21" t="s">
        <v>2</v>
      </c>
      <c r="C3" s="21" t="s">
        <v>32</v>
      </c>
      <c r="F3" s="23" t="s">
        <v>34</v>
      </c>
      <c r="G3" s="23" t="s">
        <v>35</v>
      </c>
    </row>
    <row r="4" spans="1:18" x14ac:dyDescent="0.3">
      <c r="A4" s="46">
        <v>43045</v>
      </c>
      <c r="B4" t="s">
        <v>5</v>
      </c>
      <c r="C4">
        <v>190</v>
      </c>
      <c r="F4" s="56">
        <f>SUM(ProductUnitsTableAnswer[Units Sold])</f>
        <v>93046</v>
      </c>
      <c r="G4" s="24">
        <f>MAX(ProductUnitsTableAnswer[Units Sold])</f>
        <v>191</v>
      </c>
      <c r="P4" s="46">
        <v>43044</v>
      </c>
      <c r="Q4" t="s">
        <v>5</v>
      </c>
      <c r="R4">
        <v>139</v>
      </c>
    </row>
    <row r="5" spans="1:18" x14ac:dyDescent="0.3">
      <c r="A5" s="46">
        <v>43040</v>
      </c>
      <c r="B5" t="s">
        <v>5</v>
      </c>
      <c r="C5">
        <v>138</v>
      </c>
      <c r="P5" s="46">
        <v>43043</v>
      </c>
      <c r="Q5" t="s">
        <v>7</v>
      </c>
      <c r="R5">
        <v>167</v>
      </c>
    </row>
    <row r="6" spans="1:18" x14ac:dyDescent="0.3">
      <c r="A6" s="46">
        <v>43043</v>
      </c>
      <c r="B6" t="s">
        <v>7</v>
      </c>
      <c r="C6">
        <v>12</v>
      </c>
      <c r="P6" s="46">
        <v>43044</v>
      </c>
      <c r="Q6" t="s">
        <v>5</v>
      </c>
      <c r="R6">
        <v>191</v>
      </c>
    </row>
    <row r="7" spans="1:18" x14ac:dyDescent="0.3">
      <c r="A7" s="46">
        <v>43041</v>
      </c>
      <c r="B7" t="s">
        <v>13</v>
      </c>
      <c r="C7">
        <v>45</v>
      </c>
      <c r="P7" s="46">
        <v>43040</v>
      </c>
      <c r="Q7" t="s">
        <v>13</v>
      </c>
      <c r="R7">
        <v>84</v>
      </c>
    </row>
    <row r="8" spans="1:18" x14ac:dyDescent="0.3">
      <c r="A8" s="46">
        <v>43043</v>
      </c>
      <c r="B8" t="s">
        <v>5</v>
      </c>
      <c r="C8">
        <v>187</v>
      </c>
      <c r="P8" s="46">
        <v>43043</v>
      </c>
      <c r="Q8" t="s">
        <v>13</v>
      </c>
      <c r="R8">
        <v>102</v>
      </c>
    </row>
    <row r="9" spans="1:18" x14ac:dyDescent="0.3">
      <c r="A9" s="46">
        <v>43042</v>
      </c>
      <c r="B9" t="s">
        <v>13</v>
      </c>
      <c r="C9">
        <v>29</v>
      </c>
      <c r="P9" s="46">
        <v>43040</v>
      </c>
      <c r="Q9" t="s">
        <v>7</v>
      </c>
      <c r="R9">
        <v>100</v>
      </c>
    </row>
    <row r="10" spans="1:18" x14ac:dyDescent="0.3">
      <c r="A10" s="46">
        <v>43046</v>
      </c>
      <c r="B10" t="s">
        <v>13</v>
      </c>
      <c r="C10">
        <v>106</v>
      </c>
      <c r="P10" s="46">
        <v>43044</v>
      </c>
      <c r="Q10" t="s">
        <v>13</v>
      </c>
      <c r="R10">
        <v>107</v>
      </c>
    </row>
    <row r="11" spans="1:18" x14ac:dyDescent="0.3">
      <c r="A11" s="46">
        <v>43041</v>
      </c>
      <c r="B11" t="s">
        <v>5</v>
      </c>
      <c r="C11">
        <v>147</v>
      </c>
      <c r="P11" s="46">
        <v>43044</v>
      </c>
      <c r="Q11" t="s">
        <v>13</v>
      </c>
      <c r="R11">
        <v>1</v>
      </c>
    </row>
    <row r="12" spans="1:18" x14ac:dyDescent="0.3">
      <c r="A12" s="46">
        <v>43043</v>
      </c>
      <c r="B12" t="s">
        <v>7</v>
      </c>
      <c r="C12">
        <v>143</v>
      </c>
      <c r="P12" s="46">
        <v>43043</v>
      </c>
      <c r="Q12" t="s">
        <v>5</v>
      </c>
      <c r="R12">
        <v>92</v>
      </c>
    </row>
    <row r="13" spans="1:18" x14ac:dyDescent="0.3">
      <c r="A13" s="46">
        <v>43044</v>
      </c>
      <c r="B13" t="s">
        <v>8</v>
      </c>
      <c r="C13">
        <v>33</v>
      </c>
      <c r="P13" s="46">
        <v>43044</v>
      </c>
      <c r="Q13" t="s">
        <v>5</v>
      </c>
      <c r="R13">
        <v>18</v>
      </c>
    </row>
    <row r="14" spans="1:18" x14ac:dyDescent="0.3">
      <c r="A14" s="46">
        <v>43045</v>
      </c>
      <c r="B14" t="s">
        <v>8</v>
      </c>
      <c r="C14">
        <v>99</v>
      </c>
      <c r="P14" s="46">
        <v>43045</v>
      </c>
      <c r="Q14" t="s">
        <v>5</v>
      </c>
      <c r="R14">
        <v>169</v>
      </c>
    </row>
    <row r="15" spans="1:18" x14ac:dyDescent="0.3">
      <c r="A15" s="46">
        <v>43047</v>
      </c>
      <c r="B15" t="s">
        <v>5</v>
      </c>
      <c r="C15">
        <v>35</v>
      </c>
      <c r="P15" s="46">
        <v>43045</v>
      </c>
      <c r="Q15" t="s">
        <v>13</v>
      </c>
      <c r="R15">
        <v>129</v>
      </c>
    </row>
    <row r="16" spans="1:18" x14ac:dyDescent="0.3">
      <c r="A16" s="46">
        <v>43045</v>
      </c>
      <c r="B16" t="s">
        <v>8</v>
      </c>
      <c r="C16">
        <v>21</v>
      </c>
      <c r="P16" s="46">
        <v>43042</v>
      </c>
      <c r="Q16" t="s">
        <v>13</v>
      </c>
      <c r="R16">
        <v>30</v>
      </c>
    </row>
    <row r="17" spans="1:18" x14ac:dyDescent="0.3">
      <c r="A17" s="46">
        <v>43047</v>
      </c>
      <c r="B17" t="s">
        <v>7</v>
      </c>
      <c r="C17">
        <v>60</v>
      </c>
      <c r="P17" s="46">
        <v>43041</v>
      </c>
      <c r="Q17" t="s">
        <v>5</v>
      </c>
      <c r="R17">
        <v>12</v>
      </c>
    </row>
    <row r="18" spans="1:18" x14ac:dyDescent="0.3">
      <c r="A18" s="46">
        <v>43045</v>
      </c>
      <c r="B18" t="s">
        <v>5</v>
      </c>
      <c r="C18">
        <v>132</v>
      </c>
      <c r="P18" s="46">
        <v>43044</v>
      </c>
      <c r="Q18" t="s">
        <v>5</v>
      </c>
      <c r="R18">
        <v>59</v>
      </c>
    </row>
    <row r="19" spans="1:18" x14ac:dyDescent="0.3">
      <c r="A19" s="46">
        <v>43047</v>
      </c>
      <c r="B19" t="s">
        <v>13</v>
      </c>
      <c r="C19">
        <v>156</v>
      </c>
      <c r="P19" s="46">
        <v>43047</v>
      </c>
      <c r="Q19" t="s">
        <v>7</v>
      </c>
      <c r="R19">
        <v>120</v>
      </c>
    </row>
    <row r="20" spans="1:18" x14ac:dyDescent="0.3">
      <c r="A20" s="46">
        <v>43045</v>
      </c>
      <c r="B20" t="s">
        <v>13</v>
      </c>
      <c r="C20">
        <v>120</v>
      </c>
      <c r="P20" s="46">
        <v>43043</v>
      </c>
      <c r="Q20" t="s">
        <v>7</v>
      </c>
      <c r="R20">
        <v>72</v>
      </c>
    </row>
    <row r="21" spans="1:18" x14ac:dyDescent="0.3">
      <c r="A21" s="46">
        <v>43043</v>
      </c>
      <c r="B21" t="s">
        <v>8</v>
      </c>
      <c r="C21">
        <v>55</v>
      </c>
      <c r="P21" s="46">
        <v>43045</v>
      </c>
      <c r="Q21" t="s">
        <v>13</v>
      </c>
      <c r="R21">
        <v>111</v>
      </c>
    </row>
    <row r="22" spans="1:18" x14ac:dyDescent="0.3">
      <c r="A22" s="46">
        <v>43042</v>
      </c>
      <c r="B22" t="s">
        <v>8</v>
      </c>
      <c r="C22">
        <v>165</v>
      </c>
      <c r="P22" s="46">
        <v>43040</v>
      </c>
      <c r="Q22" t="s">
        <v>13</v>
      </c>
      <c r="R22">
        <v>182</v>
      </c>
    </row>
    <row r="23" spans="1:18" x14ac:dyDescent="0.3">
      <c r="A23" s="46">
        <v>43046</v>
      </c>
      <c r="B23" t="s">
        <v>8</v>
      </c>
      <c r="C23">
        <v>124</v>
      </c>
      <c r="P23" s="46">
        <v>43041</v>
      </c>
      <c r="Q23" t="s">
        <v>7</v>
      </c>
      <c r="R23">
        <v>175</v>
      </c>
    </row>
    <row r="24" spans="1:18" x14ac:dyDescent="0.3">
      <c r="A24" s="46">
        <v>43046</v>
      </c>
      <c r="B24" t="s">
        <v>13</v>
      </c>
      <c r="C24">
        <v>155</v>
      </c>
      <c r="P24" s="46">
        <v>43043</v>
      </c>
      <c r="Q24" t="s">
        <v>5</v>
      </c>
      <c r="R24">
        <v>8</v>
      </c>
    </row>
    <row r="25" spans="1:18" x14ac:dyDescent="0.3">
      <c r="A25" s="46">
        <v>43045</v>
      </c>
      <c r="B25" t="s">
        <v>5</v>
      </c>
      <c r="C25">
        <v>33</v>
      </c>
      <c r="P25" s="46">
        <v>43041</v>
      </c>
      <c r="Q25" t="s">
        <v>13</v>
      </c>
      <c r="R25">
        <v>69</v>
      </c>
    </row>
    <row r="26" spans="1:18" x14ac:dyDescent="0.3">
      <c r="A26" s="46">
        <v>43047</v>
      </c>
      <c r="B26" t="s">
        <v>8</v>
      </c>
      <c r="C26">
        <v>76</v>
      </c>
      <c r="P26" s="46">
        <v>43044</v>
      </c>
      <c r="Q26" t="s">
        <v>5</v>
      </c>
      <c r="R26">
        <v>60</v>
      </c>
    </row>
    <row r="27" spans="1:18" x14ac:dyDescent="0.3">
      <c r="A27" s="46">
        <v>43044</v>
      </c>
      <c r="B27" t="s">
        <v>8</v>
      </c>
      <c r="C27">
        <v>49</v>
      </c>
      <c r="P27" s="46">
        <v>43046</v>
      </c>
      <c r="Q27" t="s">
        <v>5</v>
      </c>
      <c r="R27">
        <v>25</v>
      </c>
    </row>
    <row r="28" spans="1:18" x14ac:dyDescent="0.3">
      <c r="A28" s="46">
        <v>43042</v>
      </c>
      <c r="B28" t="s">
        <v>13</v>
      </c>
      <c r="C28">
        <v>26</v>
      </c>
      <c r="P28" s="46">
        <v>43045</v>
      </c>
      <c r="Q28" t="s">
        <v>8</v>
      </c>
      <c r="R28">
        <v>118</v>
      </c>
    </row>
    <row r="29" spans="1:18" x14ac:dyDescent="0.3">
      <c r="A29" s="46">
        <v>43041</v>
      </c>
      <c r="B29" t="s">
        <v>8</v>
      </c>
      <c r="C29">
        <v>30</v>
      </c>
      <c r="P29" s="46">
        <v>43045</v>
      </c>
      <c r="Q29" t="s">
        <v>7</v>
      </c>
      <c r="R29">
        <v>63</v>
      </c>
    </row>
    <row r="30" spans="1:18" x14ac:dyDescent="0.3">
      <c r="A30" s="46">
        <v>43042</v>
      </c>
      <c r="B30" t="s">
        <v>7</v>
      </c>
      <c r="C30">
        <v>116</v>
      </c>
      <c r="P30" s="46">
        <v>43047</v>
      </c>
      <c r="Q30" t="s">
        <v>7</v>
      </c>
      <c r="R30">
        <v>123</v>
      </c>
    </row>
    <row r="31" spans="1:18" x14ac:dyDescent="0.3">
      <c r="A31" s="46">
        <v>43041</v>
      </c>
      <c r="B31" t="s">
        <v>5</v>
      </c>
      <c r="C31">
        <v>45</v>
      </c>
      <c r="P31" s="46">
        <v>43042</v>
      </c>
      <c r="Q31" t="s">
        <v>8</v>
      </c>
      <c r="R31">
        <v>90</v>
      </c>
    </row>
    <row r="32" spans="1:18" x14ac:dyDescent="0.3">
      <c r="A32" s="46">
        <v>43041</v>
      </c>
      <c r="B32" t="s">
        <v>13</v>
      </c>
      <c r="C32">
        <v>47</v>
      </c>
      <c r="P32" s="46">
        <v>43047</v>
      </c>
      <c r="Q32" t="s">
        <v>8</v>
      </c>
      <c r="R32">
        <v>41</v>
      </c>
    </row>
    <row r="33" spans="1:18" x14ac:dyDescent="0.3">
      <c r="A33" s="46">
        <v>43044</v>
      </c>
      <c r="B33" t="s">
        <v>7</v>
      </c>
      <c r="C33">
        <v>113</v>
      </c>
      <c r="P33" s="46">
        <v>43047</v>
      </c>
      <c r="Q33" t="s">
        <v>7</v>
      </c>
      <c r="R33">
        <v>162</v>
      </c>
    </row>
    <row r="34" spans="1:18" x14ac:dyDescent="0.3">
      <c r="A34" s="46">
        <v>43043</v>
      </c>
      <c r="B34" t="s">
        <v>7</v>
      </c>
      <c r="C34">
        <v>70</v>
      </c>
      <c r="P34" s="46">
        <v>43046</v>
      </c>
      <c r="Q34" t="s">
        <v>5</v>
      </c>
      <c r="R34">
        <v>9</v>
      </c>
    </row>
    <row r="35" spans="1:18" x14ac:dyDescent="0.3">
      <c r="A35" s="46">
        <v>43043</v>
      </c>
      <c r="B35" t="s">
        <v>7</v>
      </c>
      <c r="C35">
        <v>173</v>
      </c>
      <c r="P35" s="46">
        <v>43046</v>
      </c>
      <c r="Q35" t="s">
        <v>5</v>
      </c>
      <c r="R35">
        <v>161</v>
      </c>
    </row>
    <row r="36" spans="1:18" x14ac:dyDescent="0.3">
      <c r="A36" s="46">
        <v>43044</v>
      </c>
      <c r="B36" t="s">
        <v>5</v>
      </c>
      <c r="C36">
        <v>54</v>
      </c>
      <c r="P36" s="46">
        <v>43046</v>
      </c>
      <c r="Q36" t="s">
        <v>13</v>
      </c>
      <c r="R36">
        <v>30</v>
      </c>
    </row>
    <row r="37" spans="1:18" x14ac:dyDescent="0.3">
      <c r="A37" s="46">
        <v>43041</v>
      </c>
      <c r="B37" t="s">
        <v>5</v>
      </c>
      <c r="C37">
        <v>122</v>
      </c>
      <c r="P37" s="46">
        <v>43044</v>
      </c>
      <c r="Q37" t="s">
        <v>5</v>
      </c>
      <c r="R37">
        <v>120</v>
      </c>
    </row>
    <row r="38" spans="1:18" x14ac:dyDescent="0.3">
      <c r="A38" s="46">
        <v>43040</v>
      </c>
      <c r="B38" t="s">
        <v>13</v>
      </c>
      <c r="C38">
        <v>3</v>
      </c>
      <c r="P38" s="46">
        <v>43044</v>
      </c>
      <c r="Q38" t="s">
        <v>8</v>
      </c>
      <c r="R38">
        <v>39</v>
      </c>
    </row>
    <row r="39" spans="1:18" x14ac:dyDescent="0.3">
      <c r="A39" s="46">
        <v>43042</v>
      </c>
      <c r="B39" t="s">
        <v>8</v>
      </c>
      <c r="C39">
        <v>122</v>
      </c>
      <c r="P39" s="46">
        <v>43047</v>
      </c>
      <c r="Q39" t="s">
        <v>5</v>
      </c>
      <c r="R39">
        <v>131</v>
      </c>
    </row>
    <row r="40" spans="1:18" x14ac:dyDescent="0.3">
      <c r="A40" s="46">
        <v>43041</v>
      </c>
      <c r="B40" t="s">
        <v>8</v>
      </c>
      <c r="C40">
        <v>81</v>
      </c>
      <c r="P40" s="46">
        <v>43045</v>
      </c>
      <c r="Q40" t="s">
        <v>13</v>
      </c>
      <c r="R40">
        <v>90</v>
      </c>
    </row>
    <row r="41" spans="1:18" x14ac:dyDescent="0.3">
      <c r="A41" s="46">
        <v>43045</v>
      </c>
      <c r="B41" t="s">
        <v>8</v>
      </c>
      <c r="C41">
        <v>21</v>
      </c>
      <c r="P41" s="46">
        <v>43044</v>
      </c>
      <c r="Q41" t="s">
        <v>7</v>
      </c>
      <c r="R41">
        <v>171</v>
      </c>
    </row>
    <row r="42" spans="1:18" x14ac:dyDescent="0.3">
      <c r="A42" s="46">
        <v>43042</v>
      </c>
      <c r="B42" t="s">
        <v>5</v>
      </c>
      <c r="C42">
        <v>144</v>
      </c>
      <c r="P42" s="46">
        <v>43045</v>
      </c>
      <c r="Q42" t="s">
        <v>7</v>
      </c>
      <c r="R42">
        <v>158</v>
      </c>
    </row>
    <row r="43" spans="1:18" x14ac:dyDescent="0.3">
      <c r="A43" s="46">
        <v>43046</v>
      </c>
      <c r="B43" t="s">
        <v>13</v>
      </c>
      <c r="C43">
        <v>139</v>
      </c>
      <c r="P43" s="46">
        <v>43041</v>
      </c>
      <c r="Q43" t="s">
        <v>7</v>
      </c>
      <c r="R43">
        <v>130</v>
      </c>
    </row>
    <row r="44" spans="1:18" x14ac:dyDescent="0.3">
      <c r="A44" s="46">
        <v>43042</v>
      </c>
      <c r="B44" t="s">
        <v>13</v>
      </c>
      <c r="C44">
        <v>105</v>
      </c>
      <c r="P44" s="46">
        <v>43046</v>
      </c>
      <c r="Q44" t="s">
        <v>13</v>
      </c>
      <c r="R44">
        <v>149</v>
      </c>
    </row>
    <row r="45" spans="1:18" x14ac:dyDescent="0.3">
      <c r="A45" s="46">
        <v>43043</v>
      </c>
      <c r="B45" t="s">
        <v>5</v>
      </c>
      <c r="C45">
        <v>14</v>
      </c>
      <c r="P45" s="46">
        <v>43047</v>
      </c>
      <c r="Q45" t="s">
        <v>5</v>
      </c>
      <c r="R45">
        <v>143</v>
      </c>
    </row>
    <row r="46" spans="1:18" x14ac:dyDescent="0.3">
      <c r="A46" s="46">
        <v>43043</v>
      </c>
      <c r="B46" t="s">
        <v>5</v>
      </c>
      <c r="C46">
        <v>95</v>
      </c>
      <c r="P46" s="46">
        <v>43040</v>
      </c>
      <c r="Q46" t="s">
        <v>13</v>
      </c>
      <c r="R46">
        <v>48</v>
      </c>
    </row>
    <row r="47" spans="1:18" x14ac:dyDescent="0.3">
      <c r="A47" s="46">
        <v>43042</v>
      </c>
      <c r="B47" t="s">
        <v>7</v>
      </c>
      <c r="C47">
        <v>142</v>
      </c>
      <c r="P47" s="46">
        <v>43044</v>
      </c>
      <c r="Q47" t="s">
        <v>8</v>
      </c>
      <c r="R47">
        <v>17</v>
      </c>
    </row>
    <row r="48" spans="1:18" x14ac:dyDescent="0.3">
      <c r="A48" s="46">
        <v>43040</v>
      </c>
      <c r="B48" t="s">
        <v>13</v>
      </c>
      <c r="C48">
        <v>150</v>
      </c>
      <c r="P48" s="46">
        <v>43042</v>
      </c>
      <c r="Q48" t="s">
        <v>7</v>
      </c>
      <c r="R48">
        <v>35</v>
      </c>
    </row>
    <row r="49" spans="1:18" x14ac:dyDescent="0.3">
      <c r="A49" s="46">
        <v>43045</v>
      </c>
      <c r="B49" t="s">
        <v>8</v>
      </c>
      <c r="C49">
        <v>79</v>
      </c>
      <c r="P49" s="46">
        <v>43044</v>
      </c>
      <c r="Q49" t="s">
        <v>5</v>
      </c>
      <c r="R49">
        <v>168</v>
      </c>
    </row>
    <row r="50" spans="1:18" x14ac:dyDescent="0.3">
      <c r="A50" s="46">
        <v>43040</v>
      </c>
      <c r="B50" t="s">
        <v>13</v>
      </c>
      <c r="C50">
        <v>57</v>
      </c>
      <c r="P50" s="46">
        <v>43041</v>
      </c>
      <c r="Q50" t="s">
        <v>5</v>
      </c>
      <c r="R50">
        <v>106</v>
      </c>
    </row>
    <row r="51" spans="1:18" x14ac:dyDescent="0.3">
      <c r="A51" s="46">
        <v>43043</v>
      </c>
      <c r="B51" t="s">
        <v>13</v>
      </c>
      <c r="C51">
        <v>62</v>
      </c>
      <c r="P51" s="46">
        <v>43044</v>
      </c>
      <c r="Q51" t="s">
        <v>8</v>
      </c>
      <c r="R51">
        <v>36</v>
      </c>
    </row>
    <row r="52" spans="1:18" x14ac:dyDescent="0.3">
      <c r="A52" s="46">
        <v>43041</v>
      </c>
      <c r="B52" t="s">
        <v>13</v>
      </c>
      <c r="C52">
        <v>177</v>
      </c>
      <c r="P52" s="46">
        <v>43041</v>
      </c>
      <c r="Q52" t="s">
        <v>8</v>
      </c>
      <c r="R52">
        <v>19</v>
      </c>
    </row>
    <row r="53" spans="1:18" x14ac:dyDescent="0.3">
      <c r="A53" s="46">
        <v>43044</v>
      </c>
      <c r="B53" t="s">
        <v>5</v>
      </c>
      <c r="C53">
        <v>165</v>
      </c>
      <c r="P53" s="46">
        <v>43044</v>
      </c>
      <c r="Q53" t="s">
        <v>8</v>
      </c>
      <c r="R53">
        <v>173</v>
      </c>
    </row>
    <row r="54" spans="1:18" x14ac:dyDescent="0.3">
      <c r="A54" s="46">
        <v>43041</v>
      </c>
      <c r="B54" t="s">
        <v>8</v>
      </c>
      <c r="C54">
        <v>37</v>
      </c>
      <c r="P54" s="46">
        <v>43042</v>
      </c>
      <c r="Q54" t="s">
        <v>7</v>
      </c>
      <c r="R54">
        <v>66</v>
      </c>
    </row>
    <row r="55" spans="1:18" x14ac:dyDescent="0.3">
      <c r="A55" s="46">
        <v>43044</v>
      </c>
      <c r="B55" t="s">
        <v>8</v>
      </c>
      <c r="C55">
        <v>181</v>
      </c>
      <c r="P55" s="46">
        <v>43045</v>
      </c>
      <c r="Q55" t="s">
        <v>8</v>
      </c>
      <c r="R55">
        <v>25</v>
      </c>
    </row>
    <row r="56" spans="1:18" x14ac:dyDescent="0.3">
      <c r="A56" s="46">
        <v>43043</v>
      </c>
      <c r="B56" t="s">
        <v>8</v>
      </c>
      <c r="C56">
        <v>148</v>
      </c>
      <c r="P56" s="46">
        <v>43043</v>
      </c>
      <c r="Q56" t="s">
        <v>5</v>
      </c>
      <c r="R56">
        <v>47</v>
      </c>
    </row>
    <row r="57" spans="1:18" x14ac:dyDescent="0.3">
      <c r="A57" s="46">
        <v>43047</v>
      </c>
      <c r="B57" t="s">
        <v>5</v>
      </c>
      <c r="C57">
        <v>132</v>
      </c>
      <c r="P57" s="46">
        <v>43047</v>
      </c>
      <c r="Q57" t="s">
        <v>5</v>
      </c>
      <c r="R57">
        <v>49</v>
      </c>
    </row>
    <row r="58" spans="1:18" x14ac:dyDescent="0.3">
      <c r="A58" s="46">
        <v>43045</v>
      </c>
      <c r="B58" t="s">
        <v>13</v>
      </c>
      <c r="C58">
        <v>3</v>
      </c>
      <c r="P58" s="46">
        <v>43047</v>
      </c>
      <c r="Q58" t="s">
        <v>7</v>
      </c>
      <c r="R58">
        <v>1</v>
      </c>
    </row>
    <row r="59" spans="1:18" x14ac:dyDescent="0.3">
      <c r="A59" s="46">
        <v>43040</v>
      </c>
      <c r="B59" t="s">
        <v>13</v>
      </c>
      <c r="C59">
        <v>121</v>
      </c>
      <c r="P59" s="46">
        <v>43042</v>
      </c>
      <c r="Q59" t="s">
        <v>13</v>
      </c>
      <c r="R59">
        <v>75</v>
      </c>
    </row>
    <row r="60" spans="1:18" x14ac:dyDescent="0.3">
      <c r="A60" s="46">
        <v>43047</v>
      </c>
      <c r="B60" t="s">
        <v>8</v>
      </c>
      <c r="C60">
        <v>104</v>
      </c>
      <c r="P60" s="46">
        <v>43045</v>
      </c>
      <c r="Q60" t="s">
        <v>5</v>
      </c>
      <c r="R60">
        <v>137</v>
      </c>
    </row>
    <row r="61" spans="1:18" x14ac:dyDescent="0.3">
      <c r="A61" s="46">
        <v>43047</v>
      </c>
      <c r="B61" t="s">
        <v>8</v>
      </c>
      <c r="C61">
        <v>155</v>
      </c>
      <c r="P61" s="46">
        <v>43040</v>
      </c>
      <c r="Q61" t="s">
        <v>13</v>
      </c>
      <c r="R61">
        <v>101</v>
      </c>
    </row>
    <row r="62" spans="1:18" x14ac:dyDescent="0.3">
      <c r="A62" s="46">
        <v>43045</v>
      </c>
      <c r="B62" t="s">
        <v>13</v>
      </c>
      <c r="C62">
        <v>129</v>
      </c>
      <c r="P62" s="46">
        <v>43046</v>
      </c>
      <c r="Q62" t="s">
        <v>7</v>
      </c>
      <c r="R62">
        <v>11</v>
      </c>
    </row>
    <row r="63" spans="1:18" x14ac:dyDescent="0.3">
      <c r="A63" s="46">
        <v>43040</v>
      </c>
      <c r="B63" t="s">
        <v>13</v>
      </c>
      <c r="C63">
        <v>72</v>
      </c>
      <c r="P63" s="46">
        <v>43042</v>
      </c>
      <c r="Q63" t="s">
        <v>8</v>
      </c>
      <c r="R63">
        <v>42</v>
      </c>
    </row>
    <row r="64" spans="1:18" x14ac:dyDescent="0.3">
      <c r="A64" s="46">
        <v>43044</v>
      </c>
      <c r="B64" t="s">
        <v>7</v>
      </c>
      <c r="C64">
        <v>164</v>
      </c>
      <c r="P64" s="46">
        <v>43040</v>
      </c>
      <c r="Q64" t="s">
        <v>5</v>
      </c>
      <c r="R64">
        <v>185</v>
      </c>
    </row>
    <row r="65" spans="1:18" x14ac:dyDescent="0.3">
      <c r="A65" s="46">
        <v>43042</v>
      </c>
      <c r="B65" t="s">
        <v>13</v>
      </c>
      <c r="C65">
        <v>6</v>
      </c>
      <c r="P65" s="46">
        <v>43043</v>
      </c>
      <c r="Q65" t="s">
        <v>5</v>
      </c>
      <c r="R65">
        <v>160</v>
      </c>
    </row>
    <row r="66" spans="1:18" x14ac:dyDescent="0.3">
      <c r="A66" s="46">
        <v>43040</v>
      </c>
      <c r="B66" t="s">
        <v>8</v>
      </c>
      <c r="C66">
        <v>46</v>
      </c>
      <c r="P66" s="46">
        <v>43043</v>
      </c>
      <c r="Q66" t="s">
        <v>5</v>
      </c>
      <c r="R66">
        <v>7</v>
      </c>
    </row>
    <row r="67" spans="1:18" x14ac:dyDescent="0.3">
      <c r="A67" s="46">
        <v>43047</v>
      </c>
      <c r="B67" t="s">
        <v>13</v>
      </c>
      <c r="C67">
        <v>182</v>
      </c>
      <c r="P67" s="46">
        <v>43044</v>
      </c>
      <c r="Q67" t="s">
        <v>13</v>
      </c>
      <c r="R67">
        <v>1</v>
      </c>
    </row>
    <row r="68" spans="1:18" x14ac:dyDescent="0.3">
      <c r="A68" s="46">
        <v>43041</v>
      </c>
      <c r="B68" t="s">
        <v>13</v>
      </c>
      <c r="C68">
        <v>11</v>
      </c>
      <c r="P68" s="46">
        <v>43045</v>
      </c>
      <c r="Q68" t="s">
        <v>5</v>
      </c>
      <c r="R68">
        <v>80</v>
      </c>
    </row>
    <row r="69" spans="1:18" x14ac:dyDescent="0.3">
      <c r="A69" s="46">
        <v>43047</v>
      </c>
      <c r="B69" t="s">
        <v>7</v>
      </c>
      <c r="C69">
        <v>18</v>
      </c>
      <c r="P69" s="46">
        <v>43047</v>
      </c>
      <c r="Q69" t="s">
        <v>7</v>
      </c>
      <c r="R69">
        <v>117</v>
      </c>
    </row>
    <row r="70" spans="1:18" x14ac:dyDescent="0.3">
      <c r="A70" s="46">
        <v>43045</v>
      </c>
      <c r="B70" t="s">
        <v>13</v>
      </c>
      <c r="C70">
        <v>152</v>
      </c>
      <c r="P70" s="46">
        <v>43041</v>
      </c>
      <c r="Q70" t="s">
        <v>8</v>
      </c>
      <c r="R70">
        <v>37</v>
      </c>
    </row>
    <row r="71" spans="1:18" x14ac:dyDescent="0.3">
      <c r="A71" s="46">
        <v>43040</v>
      </c>
      <c r="B71" t="s">
        <v>8</v>
      </c>
      <c r="C71">
        <v>41</v>
      </c>
      <c r="P71" s="46">
        <v>43040</v>
      </c>
      <c r="Q71" t="s">
        <v>5</v>
      </c>
      <c r="R71">
        <v>179</v>
      </c>
    </row>
    <row r="72" spans="1:18" x14ac:dyDescent="0.3">
      <c r="A72" s="46">
        <v>43045</v>
      </c>
      <c r="B72" t="s">
        <v>13</v>
      </c>
      <c r="C72">
        <v>11</v>
      </c>
      <c r="P72" s="46">
        <v>43046</v>
      </c>
      <c r="Q72" t="s">
        <v>7</v>
      </c>
      <c r="R72">
        <v>60</v>
      </c>
    </row>
    <row r="73" spans="1:18" x14ac:dyDescent="0.3">
      <c r="A73" s="46">
        <v>43047</v>
      </c>
      <c r="B73" t="s">
        <v>13</v>
      </c>
      <c r="C73">
        <v>148</v>
      </c>
      <c r="P73" s="46">
        <v>43043</v>
      </c>
      <c r="Q73" t="s">
        <v>8</v>
      </c>
      <c r="R73">
        <v>60</v>
      </c>
    </row>
    <row r="74" spans="1:18" x14ac:dyDescent="0.3">
      <c r="A74" s="46">
        <v>43044</v>
      </c>
      <c r="B74" t="s">
        <v>13</v>
      </c>
      <c r="C74">
        <v>154</v>
      </c>
      <c r="P74" s="46">
        <v>43044</v>
      </c>
      <c r="Q74" t="s">
        <v>7</v>
      </c>
      <c r="R74">
        <v>79</v>
      </c>
    </row>
    <row r="75" spans="1:18" x14ac:dyDescent="0.3">
      <c r="A75" s="46">
        <v>43041</v>
      </c>
      <c r="B75" t="s">
        <v>8</v>
      </c>
      <c r="C75">
        <v>115</v>
      </c>
      <c r="P75" s="46">
        <v>43047</v>
      </c>
      <c r="Q75" t="s">
        <v>7</v>
      </c>
      <c r="R75">
        <v>63</v>
      </c>
    </row>
    <row r="76" spans="1:18" x14ac:dyDescent="0.3">
      <c r="A76" s="46">
        <v>43046</v>
      </c>
      <c r="B76" t="s">
        <v>7</v>
      </c>
      <c r="C76">
        <v>122</v>
      </c>
      <c r="P76" s="46">
        <v>43040</v>
      </c>
      <c r="Q76" t="s">
        <v>5</v>
      </c>
      <c r="R76">
        <v>145</v>
      </c>
    </row>
    <row r="77" spans="1:18" x14ac:dyDescent="0.3">
      <c r="A77" s="46">
        <v>43047</v>
      </c>
      <c r="B77" t="s">
        <v>13</v>
      </c>
      <c r="C77">
        <v>3</v>
      </c>
      <c r="P77" s="46">
        <v>43045</v>
      </c>
      <c r="Q77" t="s">
        <v>13</v>
      </c>
      <c r="R77">
        <v>39</v>
      </c>
    </row>
    <row r="78" spans="1:18" x14ac:dyDescent="0.3">
      <c r="A78" s="46">
        <v>43046</v>
      </c>
      <c r="B78" t="s">
        <v>7</v>
      </c>
      <c r="C78">
        <v>26</v>
      </c>
      <c r="P78" s="46">
        <v>43043</v>
      </c>
      <c r="Q78" t="s">
        <v>7</v>
      </c>
      <c r="R78">
        <v>117</v>
      </c>
    </row>
    <row r="79" spans="1:18" x14ac:dyDescent="0.3">
      <c r="A79" s="46">
        <v>43043</v>
      </c>
      <c r="B79" t="s">
        <v>5</v>
      </c>
      <c r="C79">
        <v>162</v>
      </c>
      <c r="P79" s="46">
        <v>43044</v>
      </c>
      <c r="Q79" t="s">
        <v>8</v>
      </c>
      <c r="R79">
        <v>127</v>
      </c>
    </row>
    <row r="80" spans="1:18" x14ac:dyDescent="0.3">
      <c r="A80" s="46">
        <v>43046</v>
      </c>
      <c r="B80" t="s">
        <v>7</v>
      </c>
      <c r="C80">
        <v>21</v>
      </c>
      <c r="P80" s="46">
        <v>43047</v>
      </c>
      <c r="Q80" t="s">
        <v>7</v>
      </c>
      <c r="R80">
        <v>13</v>
      </c>
    </row>
    <row r="81" spans="1:18" x14ac:dyDescent="0.3">
      <c r="A81" s="46">
        <v>43042</v>
      </c>
      <c r="B81" t="s">
        <v>7</v>
      </c>
      <c r="C81">
        <v>42</v>
      </c>
      <c r="P81" s="46">
        <v>43044</v>
      </c>
      <c r="Q81" t="s">
        <v>7</v>
      </c>
      <c r="R81">
        <v>92</v>
      </c>
    </row>
    <row r="82" spans="1:18" x14ac:dyDescent="0.3">
      <c r="A82" s="46">
        <v>43044</v>
      </c>
      <c r="B82" t="s">
        <v>5</v>
      </c>
      <c r="C82">
        <v>82</v>
      </c>
      <c r="P82" s="46">
        <v>43047</v>
      </c>
      <c r="Q82" t="s">
        <v>7</v>
      </c>
      <c r="R82">
        <v>147</v>
      </c>
    </row>
    <row r="83" spans="1:18" x14ac:dyDescent="0.3">
      <c r="A83" s="46">
        <v>43046</v>
      </c>
      <c r="B83" t="s">
        <v>13</v>
      </c>
      <c r="C83">
        <v>78</v>
      </c>
      <c r="P83" s="46">
        <v>43041</v>
      </c>
      <c r="Q83" t="s">
        <v>5</v>
      </c>
      <c r="R83">
        <v>175</v>
      </c>
    </row>
    <row r="84" spans="1:18" x14ac:dyDescent="0.3">
      <c r="A84" s="46">
        <v>43047</v>
      </c>
      <c r="B84" t="s">
        <v>8</v>
      </c>
      <c r="C84">
        <v>127</v>
      </c>
      <c r="P84" s="46">
        <v>43041</v>
      </c>
      <c r="Q84" t="s">
        <v>7</v>
      </c>
      <c r="R84">
        <v>165</v>
      </c>
    </row>
    <row r="85" spans="1:18" x14ac:dyDescent="0.3">
      <c r="A85" s="46">
        <v>43040</v>
      </c>
      <c r="B85" t="s">
        <v>7</v>
      </c>
      <c r="C85">
        <v>64</v>
      </c>
      <c r="P85" s="46">
        <v>43041</v>
      </c>
      <c r="Q85" t="s">
        <v>5</v>
      </c>
      <c r="R85">
        <v>10</v>
      </c>
    </row>
    <row r="86" spans="1:18" x14ac:dyDescent="0.3">
      <c r="A86" s="46">
        <v>43044</v>
      </c>
      <c r="B86" t="s">
        <v>7</v>
      </c>
      <c r="C86">
        <v>152</v>
      </c>
      <c r="P86" s="46">
        <v>43042</v>
      </c>
      <c r="Q86" t="s">
        <v>8</v>
      </c>
      <c r="R86">
        <v>110</v>
      </c>
    </row>
    <row r="87" spans="1:18" x14ac:dyDescent="0.3">
      <c r="A87" s="46">
        <v>43042</v>
      </c>
      <c r="B87" t="s">
        <v>13</v>
      </c>
      <c r="C87">
        <v>53</v>
      </c>
      <c r="P87" s="46">
        <v>43040</v>
      </c>
      <c r="Q87" t="s">
        <v>7</v>
      </c>
      <c r="R87">
        <v>133</v>
      </c>
    </row>
    <row r="88" spans="1:18" x14ac:dyDescent="0.3">
      <c r="A88" s="46">
        <v>43044</v>
      </c>
      <c r="B88" t="s">
        <v>7</v>
      </c>
      <c r="C88">
        <v>11</v>
      </c>
      <c r="P88" s="46">
        <v>43041</v>
      </c>
      <c r="Q88" t="s">
        <v>5</v>
      </c>
      <c r="R88">
        <v>191</v>
      </c>
    </row>
    <row r="89" spans="1:18" x14ac:dyDescent="0.3">
      <c r="A89" s="46">
        <v>43043</v>
      </c>
      <c r="B89" t="s">
        <v>5</v>
      </c>
      <c r="C89">
        <v>170</v>
      </c>
      <c r="P89" s="46">
        <v>43043</v>
      </c>
      <c r="Q89" t="s">
        <v>7</v>
      </c>
      <c r="R89">
        <v>123</v>
      </c>
    </row>
    <row r="90" spans="1:18" x14ac:dyDescent="0.3">
      <c r="A90" s="46">
        <v>43041</v>
      </c>
      <c r="B90" t="s">
        <v>13</v>
      </c>
      <c r="C90">
        <v>170</v>
      </c>
      <c r="P90" s="46">
        <v>43046</v>
      </c>
      <c r="Q90" t="s">
        <v>8</v>
      </c>
      <c r="R90">
        <v>26</v>
      </c>
    </row>
    <row r="91" spans="1:18" x14ac:dyDescent="0.3">
      <c r="A91" s="46">
        <v>43047</v>
      </c>
      <c r="B91" t="s">
        <v>8</v>
      </c>
      <c r="C91">
        <v>31</v>
      </c>
      <c r="P91" s="46">
        <v>43047</v>
      </c>
      <c r="Q91" t="s">
        <v>7</v>
      </c>
      <c r="R91">
        <v>88</v>
      </c>
    </row>
    <row r="92" spans="1:18" x14ac:dyDescent="0.3">
      <c r="A92" s="46">
        <v>43041</v>
      </c>
      <c r="B92" t="s">
        <v>7</v>
      </c>
      <c r="C92">
        <v>7</v>
      </c>
      <c r="P92" s="46">
        <v>43046</v>
      </c>
      <c r="Q92" t="s">
        <v>8</v>
      </c>
      <c r="R92">
        <v>119</v>
      </c>
    </row>
    <row r="93" spans="1:18" x14ac:dyDescent="0.3">
      <c r="A93" s="46">
        <v>43046</v>
      </c>
      <c r="B93" t="s">
        <v>7</v>
      </c>
      <c r="C93">
        <v>175</v>
      </c>
      <c r="P93" s="46">
        <v>43043</v>
      </c>
      <c r="Q93" t="s">
        <v>7</v>
      </c>
      <c r="R93">
        <v>78</v>
      </c>
    </row>
    <row r="94" spans="1:18" x14ac:dyDescent="0.3">
      <c r="A94" s="46">
        <v>43047</v>
      </c>
      <c r="B94" t="s">
        <v>8</v>
      </c>
      <c r="C94">
        <v>107</v>
      </c>
      <c r="P94" s="46">
        <v>43040</v>
      </c>
      <c r="Q94" t="s">
        <v>13</v>
      </c>
      <c r="R94">
        <v>141</v>
      </c>
    </row>
    <row r="95" spans="1:18" x14ac:dyDescent="0.3">
      <c r="A95" s="46">
        <v>43046</v>
      </c>
      <c r="B95" t="s">
        <v>13</v>
      </c>
      <c r="C95">
        <v>123</v>
      </c>
      <c r="P95" s="46">
        <v>43040</v>
      </c>
      <c r="Q95" t="s">
        <v>5</v>
      </c>
      <c r="R95">
        <v>187</v>
      </c>
    </row>
    <row r="96" spans="1:18" x14ac:dyDescent="0.3">
      <c r="A96" s="46">
        <v>43045</v>
      </c>
      <c r="B96" t="s">
        <v>13</v>
      </c>
      <c r="C96">
        <v>21</v>
      </c>
      <c r="P96" s="46">
        <v>43043</v>
      </c>
      <c r="Q96" t="s">
        <v>7</v>
      </c>
      <c r="R96">
        <v>2</v>
      </c>
    </row>
    <row r="97" spans="1:18" x14ac:dyDescent="0.3">
      <c r="A97" s="46">
        <v>43040</v>
      </c>
      <c r="B97" t="s">
        <v>8</v>
      </c>
      <c r="C97">
        <v>8</v>
      </c>
      <c r="P97" s="46">
        <v>43044</v>
      </c>
      <c r="Q97" t="s">
        <v>5</v>
      </c>
      <c r="R97">
        <v>163</v>
      </c>
    </row>
    <row r="98" spans="1:18" x14ac:dyDescent="0.3">
      <c r="A98" s="46">
        <v>43042</v>
      </c>
      <c r="B98" t="s">
        <v>5</v>
      </c>
      <c r="C98">
        <v>115</v>
      </c>
      <c r="P98" s="46">
        <v>43045</v>
      </c>
      <c r="Q98" t="s">
        <v>7</v>
      </c>
      <c r="R98">
        <v>106</v>
      </c>
    </row>
    <row r="99" spans="1:18" x14ac:dyDescent="0.3">
      <c r="A99" s="46">
        <v>43043</v>
      </c>
      <c r="B99" t="s">
        <v>13</v>
      </c>
      <c r="C99">
        <v>50</v>
      </c>
      <c r="P99" s="46">
        <v>43044</v>
      </c>
      <c r="Q99" t="s">
        <v>13</v>
      </c>
      <c r="R99">
        <v>9</v>
      </c>
    </row>
    <row r="100" spans="1:18" x14ac:dyDescent="0.3">
      <c r="A100" s="46">
        <v>43047</v>
      </c>
      <c r="B100" t="s">
        <v>13</v>
      </c>
      <c r="C100">
        <v>121</v>
      </c>
      <c r="P100" s="46">
        <v>43040</v>
      </c>
      <c r="Q100" t="s">
        <v>7</v>
      </c>
      <c r="R100">
        <v>70</v>
      </c>
    </row>
    <row r="101" spans="1:18" x14ac:dyDescent="0.3">
      <c r="A101" s="46">
        <v>43041</v>
      </c>
      <c r="B101" t="s">
        <v>13</v>
      </c>
      <c r="C101">
        <v>35</v>
      </c>
      <c r="P101" s="46">
        <v>43044</v>
      </c>
      <c r="Q101" t="s">
        <v>5</v>
      </c>
      <c r="R101">
        <v>88</v>
      </c>
    </row>
    <row r="102" spans="1:18" x14ac:dyDescent="0.3">
      <c r="A102" s="46">
        <v>43044</v>
      </c>
      <c r="B102" t="s">
        <v>5</v>
      </c>
      <c r="C102">
        <v>106</v>
      </c>
      <c r="P102" s="46">
        <v>43040</v>
      </c>
      <c r="Q102" t="s">
        <v>7</v>
      </c>
      <c r="R102">
        <v>129</v>
      </c>
    </row>
    <row r="103" spans="1:18" x14ac:dyDescent="0.3">
      <c r="A103" s="46">
        <v>43041</v>
      </c>
      <c r="B103" t="s">
        <v>13</v>
      </c>
      <c r="C103">
        <v>125</v>
      </c>
      <c r="P103" s="46">
        <v>43040</v>
      </c>
      <c r="Q103" t="s">
        <v>7</v>
      </c>
      <c r="R103">
        <v>50</v>
      </c>
    </row>
    <row r="104" spans="1:18" x14ac:dyDescent="0.3">
      <c r="A104" s="46">
        <v>43040</v>
      </c>
      <c r="B104" t="s">
        <v>13</v>
      </c>
      <c r="C104">
        <v>182</v>
      </c>
      <c r="P104" s="46">
        <v>43041</v>
      </c>
      <c r="Q104" t="s">
        <v>7</v>
      </c>
      <c r="R104">
        <v>158</v>
      </c>
    </row>
    <row r="105" spans="1:18" x14ac:dyDescent="0.3">
      <c r="A105" s="46">
        <v>43046</v>
      </c>
      <c r="B105" t="s">
        <v>7</v>
      </c>
      <c r="C105">
        <v>98</v>
      </c>
      <c r="P105" s="46">
        <v>43046</v>
      </c>
      <c r="Q105" t="s">
        <v>5</v>
      </c>
      <c r="R105">
        <v>166</v>
      </c>
    </row>
    <row r="106" spans="1:18" x14ac:dyDescent="0.3">
      <c r="A106" s="46">
        <v>43042</v>
      </c>
      <c r="B106" t="s">
        <v>13</v>
      </c>
      <c r="C106">
        <v>80</v>
      </c>
      <c r="P106" s="46">
        <v>43047</v>
      </c>
      <c r="Q106" t="s">
        <v>13</v>
      </c>
      <c r="R106">
        <v>151</v>
      </c>
    </row>
    <row r="107" spans="1:18" x14ac:dyDescent="0.3">
      <c r="A107" s="46">
        <v>43044</v>
      </c>
      <c r="B107" t="s">
        <v>8</v>
      </c>
      <c r="C107">
        <v>18</v>
      </c>
      <c r="P107" s="46">
        <v>43042</v>
      </c>
      <c r="Q107" t="s">
        <v>13</v>
      </c>
      <c r="R107">
        <v>110</v>
      </c>
    </row>
    <row r="108" spans="1:18" x14ac:dyDescent="0.3">
      <c r="A108" s="46">
        <v>43043</v>
      </c>
      <c r="B108" t="s">
        <v>13</v>
      </c>
      <c r="C108">
        <v>80</v>
      </c>
      <c r="P108" s="46">
        <v>43040</v>
      </c>
      <c r="Q108" t="s">
        <v>5</v>
      </c>
      <c r="R108">
        <v>13</v>
      </c>
    </row>
    <row r="109" spans="1:18" x14ac:dyDescent="0.3">
      <c r="A109" s="46">
        <v>43041</v>
      </c>
      <c r="B109" t="s">
        <v>5</v>
      </c>
      <c r="C109">
        <v>52</v>
      </c>
      <c r="P109" s="46">
        <v>43040</v>
      </c>
      <c r="Q109" t="s">
        <v>7</v>
      </c>
      <c r="R109">
        <v>85</v>
      </c>
    </row>
    <row r="110" spans="1:18" x14ac:dyDescent="0.3">
      <c r="A110" s="46">
        <v>43042</v>
      </c>
      <c r="B110" t="s">
        <v>7</v>
      </c>
      <c r="C110">
        <v>52</v>
      </c>
      <c r="P110" s="46">
        <v>43046</v>
      </c>
      <c r="Q110" t="s">
        <v>13</v>
      </c>
      <c r="R110">
        <v>74</v>
      </c>
    </row>
    <row r="111" spans="1:18" x14ac:dyDescent="0.3">
      <c r="A111" s="46">
        <v>43045</v>
      </c>
      <c r="B111" t="s">
        <v>5</v>
      </c>
      <c r="C111">
        <v>119</v>
      </c>
      <c r="P111" s="46">
        <v>43044</v>
      </c>
      <c r="Q111" t="s">
        <v>7</v>
      </c>
      <c r="R111">
        <v>169</v>
      </c>
    </row>
    <row r="112" spans="1:18" x14ac:dyDescent="0.3">
      <c r="A112" s="46">
        <v>43047</v>
      </c>
      <c r="B112" t="s">
        <v>13</v>
      </c>
      <c r="C112">
        <v>129</v>
      </c>
      <c r="P112" s="46">
        <v>43044</v>
      </c>
      <c r="Q112" t="s">
        <v>13</v>
      </c>
      <c r="R112">
        <v>89</v>
      </c>
    </row>
    <row r="113" spans="1:18" x14ac:dyDescent="0.3">
      <c r="A113" s="46">
        <v>43047</v>
      </c>
      <c r="B113" t="s">
        <v>13</v>
      </c>
      <c r="C113">
        <v>141</v>
      </c>
      <c r="P113" s="46">
        <v>43042</v>
      </c>
      <c r="Q113" t="s">
        <v>5</v>
      </c>
      <c r="R113">
        <v>189</v>
      </c>
    </row>
    <row r="114" spans="1:18" x14ac:dyDescent="0.3">
      <c r="A114" s="46">
        <v>43047</v>
      </c>
      <c r="B114" t="s">
        <v>7</v>
      </c>
      <c r="C114">
        <v>95</v>
      </c>
      <c r="P114" s="46">
        <v>43042</v>
      </c>
      <c r="Q114" t="s">
        <v>13</v>
      </c>
      <c r="R114">
        <v>138</v>
      </c>
    </row>
    <row r="115" spans="1:18" x14ac:dyDescent="0.3">
      <c r="A115" s="46">
        <v>43041</v>
      </c>
      <c r="B115" t="s">
        <v>5</v>
      </c>
      <c r="C115">
        <v>112</v>
      </c>
      <c r="P115" s="46">
        <v>43047</v>
      </c>
      <c r="Q115" t="s">
        <v>8</v>
      </c>
      <c r="R115">
        <v>6</v>
      </c>
    </row>
    <row r="116" spans="1:18" x14ac:dyDescent="0.3">
      <c r="A116" s="46">
        <v>43043</v>
      </c>
      <c r="B116" t="s">
        <v>7</v>
      </c>
      <c r="C116">
        <v>40</v>
      </c>
      <c r="P116" s="46">
        <v>43042</v>
      </c>
      <c r="Q116" t="s">
        <v>13</v>
      </c>
      <c r="R116">
        <v>133</v>
      </c>
    </row>
    <row r="117" spans="1:18" x14ac:dyDescent="0.3">
      <c r="A117" s="46">
        <v>43044</v>
      </c>
      <c r="B117" t="s">
        <v>7</v>
      </c>
      <c r="C117">
        <v>160</v>
      </c>
      <c r="P117" s="46">
        <v>43046</v>
      </c>
      <c r="Q117" t="s">
        <v>13</v>
      </c>
      <c r="R117">
        <v>95</v>
      </c>
    </row>
    <row r="118" spans="1:18" x14ac:dyDescent="0.3">
      <c r="A118" s="46">
        <v>43043</v>
      </c>
      <c r="B118" t="s">
        <v>13</v>
      </c>
      <c r="C118">
        <v>81</v>
      </c>
      <c r="P118" s="46">
        <v>43045</v>
      </c>
      <c r="Q118" t="s">
        <v>8</v>
      </c>
      <c r="R118">
        <v>133</v>
      </c>
    </row>
    <row r="119" spans="1:18" x14ac:dyDescent="0.3">
      <c r="A119" s="46">
        <v>43044</v>
      </c>
      <c r="B119" t="s">
        <v>7</v>
      </c>
      <c r="C119">
        <v>157</v>
      </c>
      <c r="P119" s="46">
        <v>43047</v>
      </c>
      <c r="Q119" t="s">
        <v>7</v>
      </c>
      <c r="R119">
        <v>164</v>
      </c>
    </row>
    <row r="120" spans="1:18" x14ac:dyDescent="0.3">
      <c r="A120" s="46">
        <v>43046</v>
      </c>
      <c r="B120" t="s">
        <v>5</v>
      </c>
      <c r="C120">
        <v>12</v>
      </c>
      <c r="P120" s="46">
        <v>43046</v>
      </c>
      <c r="Q120" t="s">
        <v>5</v>
      </c>
      <c r="R120">
        <v>30</v>
      </c>
    </row>
    <row r="121" spans="1:18" x14ac:dyDescent="0.3">
      <c r="A121" s="46">
        <v>43040</v>
      </c>
      <c r="B121" t="s">
        <v>13</v>
      </c>
      <c r="C121">
        <v>117</v>
      </c>
      <c r="P121" s="46">
        <v>43046</v>
      </c>
      <c r="Q121" t="s">
        <v>8</v>
      </c>
      <c r="R121">
        <v>113</v>
      </c>
    </row>
    <row r="122" spans="1:18" x14ac:dyDescent="0.3">
      <c r="A122" s="46">
        <v>43043</v>
      </c>
      <c r="B122" t="s">
        <v>7</v>
      </c>
      <c r="C122">
        <v>118</v>
      </c>
      <c r="P122" s="46">
        <v>43043</v>
      </c>
      <c r="Q122" t="s">
        <v>7</v>
      </c>
      <c r="R122">
        <v>3</v>
      </c>
    </row>
    <row r="123" spans="1:18" x14ac:dyDescent="0.3">
      <c r="A123" s="46">
        <v>43042</v>
      </c>
      <c r="B123" t="s">
        <v>5</v>
      </c>
      <c r="C123">
        <v>6</v>
      </c>
      <c r="P123" s="46">
        <v>43046</v>
      </c>
      <c r="Q123" t="s">
        <v>13</v>
      </c>
      <c r="R123">
        <v>167</v>
      </c>
    </row>
    <row r="124" spans="1:18" x14ac:dyDescent="0.3">
      <c r="A124" s="46">
        <v>43043</v>
      </c>
      <c r="B124" t="s">
        <v>13</v>
      </c>
      <c r="C124">
        <v>107</v>
      </c>
      <c r="P124" s="46">
        <v>43046</v>
      </c>
      <c r="Q124" t="s">
        <v>7</v>
      </c>
      <c r="R124">
        <v>148</v>
      </c>
    </row>
    <row r="125" spans="1:18" x14ac:dyDescent="0.3">
      <c r="A125" s="46">
        <v>43041</v>
      </c>
      <c r="B125" t="s">
        <v>8</v>
      </c>
      <c r="C125">
        <v>15</v>
      </c>
      <c r="P125" s="46">
        <v>43042</v>
      </c>
      <c r="Q125" t="s">
        <v>13</v>
      </c>
      <c r="R125">
        <v>167</v>
      </c>
    </row>
    <row r="126" spans="1:18" x14ac:dyDescent="0.3">
      <c r="A126" s="46">
        <v>43041</v>
      </c>
      <c r="B126" t="s">
        <v>8</v>
      </c>
      <c r="C126">
        <v>7</v>
      </c>
      <c r="P126" s="46">
        <v>43047</v>
      </c>
      <c r="Q126" t="s">
        <v>8</v>
      </c>
      <c r="R126">
        <v>25</v>
      </c>
    </row>
    <row r="127" spans="1:18" x14ac:dyDescent="0.3">
      <c r="A127" s="46">
        <v>43046</v>
      </c>
      <c r="B127" t="s">
        <v>5</v>
      </c>
      <c r="C127">
        <v>178</v>
      </c>
      <c r="P127" s="46">
        <v>43043</v>
      </c>
      <c r="Q127" t="s">
        <v>5</v>
      </c>
      <c r="R127">
        <v>130</v>
      </c>
    </row>
    <row r="128" spans="1:18" x14ac:dyDescent="0.3">
      <c r="A128" s="46">
        <v>43042</v>
      </c>
      <c r="B128" t="s">
        <v>13</v>
      </c>
      <c r="C128">
        <v>159</v>
      </c>
      <c r="P128" s="46">
        <v>43043</v>
      </c>
      <c r="Q128" t="s">
        <v>13</v>
      </c>
      <c r="R128">
        <v>19</v>
      </c>
    </row>
    <row r="129" spans="1:18" x14ac:dyDescent="0.3">
      <c r="A129" s="46">
        <v>43042</v>
      </c>
      <c r="B129" t="s">
        <v>8</v>
      </c>
      <c r="C129">
        <v>48</v>
      </c>
      <c r="P129" s="46">
        <v>43040</v>
      </c>
      <c r="Q129" t="s">
        <v>5</v>
      </c>
      <c r="R129">
        <v>33</v>
      </c>
    </row>
    <row r="130" spans="1:18" x14ac:dyDescent="0.3">
      <c r="A130" s="46">
        <v>43043</v>
      </c>
      <c r="B130" t="s">
        <v>7</v>
      </c>
      <c r="C130">
        <v>12</v>
      </c>
      <c r="P130" s="46">
        <v>43046</v>
      </c>
      <c r="Q130" t="s">
        <v>7</v>
      </c>
      <c r="R130">
        <v>86</v>
      </c>
    </row>
    <row r="131" spans="1:18" x14ac:dyDescent="0.3">
      <c r="A131" s="46">
        <v>43041</v>
      </c>
      <c r="B131" t="s">
        <v>7</v>
      </c>
      <c r="C131">
        <v>163</v>
      </c>
      <c r="P131" s="46">
        <v>43047</v>
      </c>
      <c r="Q131" t="s">
        <v>13</v>
      </c>
      <c r="R131">
        <v>50</v>
      </c>
    </row>
    <row r="132" spans="1:18" x14ac:dyDescent="0.3">
      <c r="A132" s="46">
        <v>43041</v>
      </c>
      <c r="B132" t="s">
        <v>8</v>
      </c>
      <c r="C132">
        <v>133</v>
      </c>
      <c r="P132" s="46">
        <v>43044</v>
      </c>
      <c r="Q132" t="s">
        <v>5</v>
      </c>
      <c r="R132">
        <v>68</v>
      </c>
    </row>
    <row r="133" spans="1:18" x14ac:dyDescent="0.3">
      <c r="A133" s="46">
        <v>43042</v>
      </c>
      <c r="B133" t="s">
        <v>13</v>
      </c>
      <c r="C133">
        <v>63</v>
      </c>
      <c r="P133" s="46">
        <v>43041</v>
      </c>
      <c r="Q133" t="s">
        <v>13</v>
      </c>
      <c r="R133">
        <v>77</v>
      </c>
    </row>
    <row r="134" spans="1:18" x14ac:dyDescent="0.3">
      <c r="A134" s="46">
        <v>43040</v>
      </c>
      <c r="B134" t="s">
        <v>7</v>
      </c>
      <c r="C134">
        <v>95</v>
      </c>
      <c r="P134" s="46">
        <v>43042</v>
      </c>
      <c r="Q134" t="s">
        <v>7</v>
      </c>
      <c r="R134">
        <v>20</v>
      </c>
    </row>
    <row r="135" spans="1:18" x14ac:dyDescent="0.3">
      <c r="A135" s="46">
        <v>43042</v>
      </c>
      <c r="B135" t="s">
        <v>13</v>
      </c>
      <c r="C135">
        <v>51</v>
      </c>
      <c r="P135" s="46">
        <v>43040</v>
      </c>
      <c r="Q135" t="s">
        <v>13</v>
      </c>
      <c r="R135">
        <v>132</v>
      </c>
    </row>
    <row r="136" spans="1:18" x14ac:dyDescent="0.3">
      <c r="A136" s="46">
        <v>43045</v>
      </c>
      <c r="B136" t="s">
        <v>7</v>
      </c>
      <c r="C136">
        <v>75</v>
      </c>
      <c r="P136" s="46">
        <v>43047</v>
      </c>
      <c r="Q136" t="s">
        <v>5</v>
      </c>
      <c r="R136">
        <v>4</v>
      </c>
    </row>
    <row r="137" spans="1:18" x14ac:dyDescent="0.3">
      <c r="A137" s="46">
        <v>43043</v>
      </c>
      <c r="B137" t="s">
        <v>13</v>
      </c>
      <c r="C137">
        <v>174</v>
      </c>
      <c r="P137" s="46">
        <v>43045</v>
      </c>
      <c r="Q137" t="s">
        <v>5</v>
      </c>
      <c r="R137">
        <v>153</v>
      </c>
    </row>
    <row r="138" spans="1:18" x14ac:dyDescent="0.3">
      <c r="A138" s="46">
        <v>43040</v>
      </c>
      <c r="B138" t="s">
        <v>13</v>
      </c>
      <c r="C138">
        <v>150</v>
      </c>
      <c r="P138" s="46">
        <v>43047</v>
      </c>
      <c r="Q138" t="s">
        <v>7</v>
      </c>
      <c r="R138">
        <v>29</v>
      </c>
    </row>
    <row r="139" spans="1:18" x14ac:dyDescent="0.3">
      <c r="A139" s="46">
        <v>43043</v>
      </c>
      <c r="B139" t="s">
        <v>13</v>
      </c>
      <c r="C139">
        <v>4</v>
      </c>
      <c r="P139" s="46">
        <v>43042</v>
      </c>
      <c r="Q139" t="s">
        <v>13</v>
      </c>
      <c r="R139">
        <v>98</v>
      </c>
    </row>
    <row r="140" spans="1:18" x14ac:dyDescent="0.3">
      <c r="A140" s="46">
        <v>43040</v>
      </c>
      <c r="B140" t="s">
        <v>7</v>
      </c>
      <c r="C140">
        <v>87</v>
      </c>
      <c r="P140" s="46">
        <v>43046</v>
      </c>
      <c r="Q140" t="s">
        <v>8</v>
      </c>
      <c r="R140">
        <v>89</v>
      </c>
    </row>
    <row r="141" spans="1:18" x14ac:dyDescent="0.3">
      <c r="A141" s="46">
        <v>43040</v>
      </c>
      <c r="B141" t="s">
        <v>13</v>
      </c>
      <c r="C141">
        <v>105</v>
      </c>
      <c r="P141" s="46">
        <v>43042</v>
      </c>
      <c r="Q141" t="s">
        <v>8</v>
      </c>
      <c r="R141">
        <v>129</v>
      </c>
    </row>
    <row r="142" spans="1:18" x14ac:dyDescent="0.3">
      <c r="A142" s="46">
        <v>43045</v>
      </c>
      <c r="B142" t="s">
        <v>13</v>
      </c>
      <c r="C142">
        <v>129</v>
      </c>
      <c r="P142" s="46">
        <v>43046</v>
      </c>
      <c r="Q142" t="s">
        <v>8</v>
      </c>
      <c r="R142">
        <v>165</v>
      </c>
    </row>
    <row r="143" spans="1:18" x14ac:dyDescent="0.3">
      <c r="A143" s="46">
        <v>43047</v>
      </c>
      <c r="B143" t="s">
        <v>13</v>
      </c>
      <c r="C143">
        <v>9</v>
      </c>
      <c r="P143" s="46">
        <v>43043</v>
      </c>
      <c r="Q143" t="s">
        <v>13</v>
      </c>
      <c r="R143">
        <v>169</v>
      </c>
    </row>
    <row r="144" spans="1:18" x14ac:dyDescent="0.3">
      <c r="A144" s="46">
        <v>43044</v>
      </c>
      <c r="B144" t="s">
        <v>13</v>
      </c>
      <c r="C144">
        <v>90</v>
      </c>
      <c r="P144" s="46">
        <v>43040</v>
      </c>
      <c r="Q144" t="s">
        <v>5</v>
      </c>
      <c r="R144">
        <v>191</v>
      </c>
    </row>
    <row r="145" spans="1:18" x14ac:dyDescent="0.3">
      <c r="A145" s="46">
        <v>43041</v>
      </c>
      <c r="B145" t="s">
        <v>8</v>
      </c>
      <c r="C145">
        <v>14</v>
      </c>
      <c r="P145" s="46">
        <v>43047</v>
      </c>
      <c r="Q145" t="s">
        <v>8</v>
      </c>
      <c r="R145">
        <v>120</v>
      </c>
    </row>
    <row r="146" spans="1:18" x14ac:dyDescent="0.3">
      <c r="A146" s="46">
        <v>43041</v>
      </c>
      <c r="B146" t="s">
        <v>8</v>
      </c>
      <c r="C146">
        <v>134</v>
      </c>
      <c r="P146" s="46">
        <v>43046</v>
      </c>
      <c r="Q146" t="s">
        <v>13</v>
      </c>
      <c r="R146">
        <v>188</v>
      </c>
    </row>
    <row r="147" spans="1:18" x14ac:dyDescent="0.3">
      <c r="A147" s="46">
        <v>43047</v>
      </c>
      <c r="B147" t="s">
        <v>5</v>
      </c>
      <c r="C147">
        <v>102</v>
      </c>
      <c r="P147" s="46">
        <v>43045</v>
      </c>
      <c r="Q147" t="s">
        <v>5</v>
      </c>
      <c r="R147">
        <v>101</v>
      </c>
    </row>
    <row r="148" spans="1:18" x14ac:dyDescent="0.3">
      <c r="A148" s="46">
        <v>43042</v>
      </c>
      <c r="B148" t="s">
        <v>7</v>
      </c>
      <c r="C148">
        <v>46</v>
      </c>
      <c r="P148" s="46">
        <v>43044</v>
      </c>
      <c r="Q148" t="s">
        <v>7</v>
      </c>
      <c r="R148">
        <v>73</v>
      </c>
    </row>
    <row r="149" spans="1:18" x14ac:dyDescent="0.3">
      <c r="A149" s="46">
        <v>43046</v>
      </c>
      <c r="B149" t="s">
        <v>7</v>
      </c>
      <c r="C149">
        <v>182</v>
      </c>
      <c r="P149" s="46">
        <v>43046</v>
      </c>
      <c r="Q149" t="s">
        <v>5</v>
      </c>
      <c r="R149">
        <v>139</v>
      </c>
    </row>
    <row r="150" spans="1:18" x14ac:dyDescent="0.3">
      <c r="A150" s="46">
        <v>43041</v>
      </c>
      <c r="B150" t="s">
        <v>7</v>
      </c>
      <c r="C150">
        <v>190</v>
      </c>
      <c r="P150" s="46">
        <v>43042</v>
      </c>
      <c r="Q150" t="s">
        <v>5</v>
      </c>
      <c r="R150">
        <v>168</v>
      </c>
    </row>
    <row r="151" spans="1:18" x14ac:dyDescent="0.3">
      <c r="A151" s="46">
        <v>43045</v>
      </c>
      <c r="B151" t="s">
        <v>5</v>
      </c>
      <c r="C151">
        <v>13</v>
      </c>
      <c r="P151" s="46">
        <v>43046</v>
      </c>
      <c r="Q151" t="s">
        <v>13</v>
      </c>
      <c r="R151">
        <v>150</v>
      </c>
    </row>
    <row r="152" spans="1:18" x14ac:dyDescent="0.3">
      <c r="A152" s="46">
        <v>43045</v>
      </c>
      <c r="B152" t="s">
        <v>8</v>
      </c>
      <c r="C152">
        <v>132</v>
      </c>
      <c r="P152" s="46">
        <v>43046</v>
      </c>
      <c r="Q152" t="s">
        <v>7</v>
      </c>
      <c r="R152">
        <v>24</v>
      </c>
    </row>
    <row r="153" spans="1:18" x14ac:dyDescent="0.3">
      <c r="A153" s="46">
        <v>43047</v>
      </c>
      <c r="B153" t="s">
        <v>8</v>
      </c>
      <c r="C153">
        <v>52</v>
      </c>
      <c r="P153" s="46">
        <v>43045</v>
      </c>
      <c r="Q153" t="s">
        <v>5</v>
      </c>
      <c r="R153">
        <v>94</v>
      </c>
    </row>
    <row r="154" spans="1:18" x14ac:dyDescent="0.3">
      <c r="A154" s="46">
        <v>43040</v>
      </c>
      <c r="B154" t="s">
        <v>13</v>
      </c>
      <c r="C154">
        <v>105</v>
      </c>
      <c r="P154" s="46">
        <v>43040</v>
      </c>
      <c r="Q154" t="s">
        <v>8</v>
      </c>
      <c r="R154">
        <v>171</v>
      </c>
    </row>
    <row r="155" spans="1:18" x14ac:dyDescent="0.3">
      <c r="A155" s="46">
        <v>43041</v>
      </c>
      <c r="B155" t="s">
        <v>5</v>
      </c>
      <c r="C155">
        <v>142</v>
      </c>
      <c r="P155" s="46">
        <v>43044</v>
      </c>
      <c r="Q155" t="s">
        <v>13</v>
      </c>
      <c r="R155">
        <v>119</v>
      </c>
    </row>
    <row r="156" spans="1:18" x14ac:dyDescent="0.3">
      <c r="A156" s="46">
        <v>43047</v>
      </c>
      <c r="B156" t="s">
        <v>5</v>
      </c>
      <c r="C156">
        <v>132</v>
      </c>
      <c r="P156" s="46">
        <v>43047</v>
      </c>
      <c r="Q156" t="s">
        <v>5</v>
      </c>
      <c r="R156">
        <v>157</v>
      </c>
    </row>
    <row r="157" spans="1:18" x14ac:dyDescent="0.3">
      <c r="A157" s="46">
        <v>43043</v>
      </c>
      <c r="B157" t="s">
        <v>13</v>
      </c>
      <c r="C157">
        <v>116</v>
      </c>
      <c r="P157" s="46">
        <v>43045</v>
      </c>
      <c r="Q157" t="s">
        <v>13</v>
      </c>
      <c r="R157">
        <v>46</v>
      </c>
    </row>
    <row r="158" spans="1:18" x14ac:dyDescent="0.3">
      <c r="A158" s="46">
        <v>43047</v>
      </c>
      <c r="B158" t="s">
        <v>13</v>
      </c>
      <c r="C158">
        <v>89</v>
      </c>
      <c r="P158" s="46">
        <v>43047</v>
      </c>
      <c r="Q158" t="s">
        <v>13</v>
      </c>
      <c r="R158">
        <v>191</v>
      </c>
    </row>
    <row r="159" spans="1:18" x14ac:dyDescent="0.3">
      <c r="A159" s="46">
        <v>43042</v>
      </c>
      <c r="B159" t="s">
        <v>7</v>
      </c>
      <c r="C159">
        <v>156</v>
      </c>
      <c r="P159" s="46">
        <v>43040</v>
      </c>
      <c r="Q159" t="s">
        <v>5</v>
      </c>
      <c r="R159">
        <v>83</v>
      </c>
    </row>
    <row r="160" spans="1:18" x14ac:dyDescent="0.3">
      <c r="A160" s="46">
        <v>43045</v>
      </c>
      <c r="B160" t="s">
        <v>7</v>
      </c>
      <c r="C160">
        <v>136</v>
      </c>
      <c r="P160" s="46">
        <v>43042</v>
      </c>
      <c r="Q160" t="s">
        <v>13</v>
      </c>
      <c r="R160">
        <v>106</v>
      </c>
    </row>
    <row r="161" spans="1:18" x14ac:dyDescent="0.3">
      <c r="A161" s="46">
        <v>43043</v>
      </c>
      <c r="B161" t="s">
        <v>8</v>
      </c>
      <c r="C161">
        <v>77</v>
      </c>
      <c r="P161" s="46">
        <v>43046</v>
      </c>
      <c r="Q161" t="s">
        <v>5</v>
      </c>
      <c r="R161">
        <v>53</v>
      </c>
    </row>
    <row r="162" spans="1:18" x14ac:dyDescent="0.3">
      <c r="A162" s="46">
        <v>43044</v>
      </c>
      <c r="B162" t="s">
        <v>5</v>
      </c>
      <c r="C162">
        <v>97</v>
      </c>
      <c r="P162" s="46">
        <v>43046</v>
      </c>
      <c r="Q162" t="s">
        <v>8</v>
      </c>
      <c r="R162">
        <v>178</v>
      </c>
    </row>
    <row r="163" spans="1:18" x14ac:dyDescent="0.3">
      <c r="A163" s="46">
        <v>43047</v>
      </c>
      <c r="B163" t="s">
        <v>8</v>
      </c>
      <c r="C163">
        <v>121</v>
      </c>
      <c r="P163" s="46">
        <v>43044</v>
      </c>
      <c r="Q163" t="s">
        <v>13</v>
      </c>
      <c r="R163">
        <v>134</v>
      </c>
    </row>
    <row r="164" spans="1:18" x14ac:dyDescent="0.3">
      <c r="A164" s="46">
        <v>43041</v>
      </c>
      <c r="B164" t="s">
        <v>7</v>
      </c>
      <c r="C164">
        <v>3</v>
      </c>
      <c r="P164" s="46">
        <v>43045</v>
      </c>
      <c r="Q164" t="s">
        <v>8</v>
      </c>
      <c r="R164">
        <v>74</v>
      </c>
    </row>
    <row r="165" spans="1:18" x14ac:dyDescent="0.3">
      <c r="A165" s="46">
        <v>43043</v>
      </c>
      <c r="B165" t="s">
        <v>5</v>
      </c>
      <c r="C165">
        <v>56</v>
      </c>
      <c r="P165" s="46">
        <v>43040</v>
      </c>
      <c r="Q165" t="s">
        <v>8</v>
      </c>
      <c r="R165">
        <v>38</v>
      </c>
    </row>
    <row r="166" spans="1:18" x14ac:dyDescent="0.3">
      <c r="A166" s="46">
        <v>43043</v>
      </c>
      <c r="B166" t="s">
        <v>7</v>
      </c>
      <c r="C166">
        <v>177</v>
      </c>
      <c r="P166" s="46">
        <v>43043</v>
      </c>
      <c r="Q166" t="s">
        <v>5</v>
      </c>
      <c r="R166">
        <v>185</v>
      </c>
    </row>
    <row r="167" spans="1:18" x14ac:dyDescent="0.3">
      <c r="A167" s="46">
        <v>43043</v>
      </c>
      <c r="B167" t="s">
        <v>7</v>
      </c>
      <c r="C167">
        <v>140</v>
      </c>
      <c r="P167" s="46">
        <v>43042</v>
      </c>
      <c r="Q167" t="s">
        <v>13</v>
      </c>
      <c r="R167">
        <v>145</v>
      </c>
    </row>
    <row r="168" spans="1:18" x14ac:dyDescent="0.3">
      <c r="A168" s="46">
        <v>43047</v>
      </c>
      <c r="B168" t="s">
        <v>8</v>
      </c>
      <c r="C168">
        <v>173</v>
      </c>
      <c r="P168" s="46">
        <v>43046</v>
      </c>
      <c r="Q168" t="s">
        <v>8</v>
      </c>
      <c r="R168">
        <v>119</v>
      </c>
    </row>
    <row r="169" spans="1:18" x14ac:dyDescent="0.3">
      <c r="A169" s="46">
        <v>43045</v>
      </c>
      <c r="B169" t="s">
        <v>8</v>
      </c>
      <c r="C169">
        <v>27</v>
      </c>
      <c r="P169" s="46">
        <v>43045</v>
      </c>
      <c r="Q169" t="s">
        <v>8</v>
      </c>
      <c r="R169">
        <v>178</v>
      </c>
    </row>
    <row r="170" spans="1:18" x14ac:dyDescent="0.3">
      <c r="A170" s="46">
        <v>43043</v>
      </c>
      <c r="B170" t="s">
        <v>7</v>
      </c>
      <c r="C170">
        <v>87</v>
      </c>
      <c r="P170" s="46">
        <v>43041</v>
      </c>
      <c r="Q170" t="s">
        <v>13</v>
      </c>
      <c r="R170">
        <v>171</v>
      </c>
    </row>
    <row r="171" spans="1:18" x14ac:dyDescent="0.3">
      <c r="A171" s="46">
        <v>43043</v>
      </c>
      <c r="B171" t="s">
        <v>8</v>
      </c>
      <c r="C171">
        <v>20</v>
      </c>
      <c r="P171" s="46">
        <v>43040</v>
      </c>
      <c r="Q171" t="s">
        <v>13</v>
      </c>
      <c r="R171">
        <v>33</v>
      </c>
    </row>
    <row r="172" spans="1:18" x14ac:dyDescent="0.3">
      <c r="A172" s="46">
        <v>43043</v>
      </c>
      <c r="B172" t="s">
        <v>7</v>
      </c>
      <c r="C172">
        <v>191</v>
      </c>
      <c r="P172" s="46">
        <v>43044</v>
      </c>
      <c r="Q172" t="s">
        <v>7</v>
      </c>
      <c r="R172">
        <v>32</v>
      </c>
    </row>
    <row r="173" spans="1:18" x14ac:dyDescent="0.3">
      <c r="A173" s="46">
        <v>43040</v>
      </c>
      <c r="B173" t="s">
        <v>7</v>
      </c>
      <c r="C173">
        <v>70</v>
      </c>
      <c r="P173" s="46">
        <v>43045</v>
      </c>
      <c r="Q173" t="s">
        <v>5</v>
      </c>
      <c r="R173">
        <v>24</v>
      </c>
    </row>
    <row r="174" spans="1:18" x14ac:dyDescent="0.3">
      <c r="A174" s="46">
        <v>43043</v>
      </c>
      <c r="B174" t="s">
        <v>13</v>
      </c>
      <c r="C174">
        <v>186</v>
      </c>
      <c r="P174" s="46">
        <v>43043</v>
      </c>
      <c r="Q174" t="s">
        <v>5</v>
      </c>
      <c r="R174">
        <v>166</v>
      </c>
    </row>
    <row r="175" spans="1:18" x14ac:dyDescent="0.3">
      <c r="A175" s="46">
        <v>43043</v>
      </c>
      <c r="B175" t="s">
        <v>8</v>
      </c>
      <c r="C175">
        <v>126</v>
      </c>
      <c r="P175" s="46">
        <v>43043</v>
      </c>
      <c r="Q175" t="s">
        <v>7</v>
      </c>
      <c r="R175">
        <v>107</v>
      </c>
    </row>
    <row r="176" spans="1:18" x14ac:dyDescent="0.3">
      <c r="A176" s="46">
        <v>43040</v>
      </c>
      <c r="B176" t="s">
        <v>13</v>
      </c>
      <c r="C176">
        <v>3</v>
      </c>
      <c r="P176" s="46">
        <v>43040</v>
      </c>
      <c r="Q176" t="s">
        <v>7</v>
      </c>
      <c r="R176">
        <v>179</v>
      </c>
    </row>
    <row r="177" spans="1:18" x14ac:dyDescent="0.3">
      <c r="A177" s="46">
        <v>43043</v>
      </c>
      <c r="B177" t="s">
        <v>8</v>
      </c>
      <c r="C177">
        <v>92</v>
      </c>
      <c r="P177" s="46">
        <v>43043</v>
      </c>
      <c r="Q177" t="s">
        <v>7</v>
      </c>
      <c r="R177">
        <v>164</v>
      </c>
    </row>
    <row r="178" spans="1:18" x14ac:dyDescent="0.3">
      <c r="A178" s="46">
        <v>43043</v>
      </c>
      <c r="B178" t="s">
        <v>5</v>
      </c>
      <c r="C178">
        <v>3</v>
      </c>
      <c r="P178" s="46">
        <v>43045</v>
      </c>
      <c r="Q178" t="s">
        <v>8</v>
      </c>
      <c r="R178">
        <v>175</v>
      </c>
    </row>
    <row r="179" spans="1:18" x14ac:dyDescent="0.3">
      <c r="A179" s="46">
        <v>43044</v>
      </c>
      <c r="B179" t="s">
        <v>7</v>
      </c>
      <c r="C179">
        <v>82</v>
      </c>
      <c r="P179" s="46">
        <v>43043</v>
      </c>
      <c r="Q179" t="s">
        <v>5</v>
      </c>
      <c r="R179">
        <v>55</v>
      </c>
    </row>
    <row r="180" spans="1:18" x14ac:dyDescent="0.3">
      <c r="A180" s="46">
        <v>43040</v>
      </c>
      <c r="B180" t="s">
        <v>7</v>
      </c>
      <c r="C180">
        <v>99</v>
      </c>
      <c r="P180" s="46">
        <v>43046</v>
      </c>
      <c r="Q180" t="s">
        <v>8</v>
      </c>
      <c r="R180">
        <v>165</v>
      </c>
    </row>
    <row r="181" spans="1:18" x14ac:dyDescent="0.3">
      <c r="A181" s="46">
        <v>43045</v>
      </c>
      <c r="B181" t="s">
        <v>8</v>
      </c>
      <c r="C181">
        <v>131</v>
      </c>
      <c r="P181" s="46">
        <v>43047</v>
      </c>
      <c r="Q181" t="s">
        <v>5</v>
      </c>
      <c r="R181">
        <v>142</v>
      </c>
    </row>
    <row r="182" spans="1:18" x14ac:dyDescent="0.3">
      <c r="A182" s="46">
        <v>43040</v>
      </c>
      <c r="B182" t="s">
        <v>5</v>
      </c>
      <c r="C182">
        <v>175</v>
      </c>
      <c r="P182" s="46">
        <v>43041</v>
      </c>
      <c r="Q182" t="s">
        <v>8</v>
      </c>
      <c r="R182">
        <v>67</v>
      </c>
    </row>
    <row r="183" spans="1:18" x14ac:dyDescent="0.3">
      <c r="A183" s="46">
        <v>43043</v>
      </c>
      <c r="B183" t="s">
        <v>7</v>
      </c>
      <c r="C183">
        <v>41</v>
      </c>
      <c r="P183" s="46">
        <v>43046</v>
      </c>
      <c r="Q183" t="s">
        <v>8</v>
      </c>
      <c r="R183">
        <v>73</v>
      </c>
    </row>
    <row r="184" spans="1:18" x14ac:dyDescent="0.3">
      <c r="A184" s="46">
        <v>43043</v>
      </c>
      <c r="B184" t="s">
        <v>13</v>
      </c>
      <c r="C184">
        <v>14</v>
      </c>
      <c r="P184" s="46">
        <v>43044</v>
      </c>
      <c r="Q184" t="s">
        <v>13</v>
      </c>
      <c r="R184">
        <v>21</v>
      </c>
    </row>
    <row r="185" spans="1:18" x14ac:dyDescent="0.3">
      <c r="A185" s="46">
        <v>43045</v>
      </c>
      <c r="B185" t="s">
        <v>5</v>
      </c>
      <c r="C185">
        <v>122</v>
      </c>
      <c r="P185" s="46">
        <v>43047</v>
      </c>
      <c r="Q185" t="s">
        <v>8</v>
      </c>
      <c r="R185">
        <v>40</v>
      </c>
    </row>
    <row r="186" spans="1:18" x14ac:dyDescent="0.3">
      <c r="A186" s="46">
        <v>43041</v>
      </c>
      <c r="B186" t="s">
        <v>5</v>
      </c>
      <c r="C186">
        <v>48</v>
      </c>
      <c r="P186" s="46">
        <v>43042</v>
      </c>
      <c r="Q186" t="s">
        <v>13</v>
      </c>
      <c r="R186">
        <v>175</v>
      </c>
    </row>
    <row r="187" spans="1:18" x14ac:dyDescent="0.3">
      <c r="A187" s="46">
        <v>43042</v>
      </c>
      <c r="B187" t="s">
        <v>8</v>
      </c>
      <c r="C187">
        <v>57</v>
      </c>
      <c r="P187" s="46">
        <v>43040</v>
      </c>
      <c r="Q187" t="s">
        <v>5</v>
      </c>
      <c r="R187">
        <v>187</v>
      </c>
    </row>
    <row r="188" spans="1:18" x14ac:dyDescent="0.3">
      <c r="A188" s="46">
        <v>43047</v>
      </c>
      <c r="B188" t="s">
        <v>7</v>
      </c>
      <c r="C188">
        <v>113</v>
      </c>
      <c r="P188" s="46">
        <v>43045</v>
      </c>
      <c r="Q188" t="s">
        <v>13</v>
      </c>
      <c r="R188">
        <v>167</v>
      </c>
    </row>
    <row r="189" spans="1:18" x14ac:dyDescent="0.3">
      <c r="A189" s="46">
        <v>43047</v>
      </c>
      <c r="B189" t="s">
        <v>8</v>
      </c>
      <c r="C189">
        <v>186</v>
      </c>
      <c r="P189" s="46">
        <v>43046</v>
      </c>
      <c r="Q189" t="s">
        <v>5</v>
      </c>
      <c r="R189">
        <v>70</v>
      </c>
    </row>
    <row r="190" spans="1:18" x14ac:dyDescent="0.3">
      <c r="A190" s="46">
        <v>43043</v>
      </c>
      <c r="B190" t="s">
        <v>8</v>
      </c>
      <c r="C190">
        <v>102</v>
      </c>
      <c r="P190" s="46">
        <v>43043</v>
      </c>
      <c r="Q190" t="s">
        <v>5</v>
      </c>
      <c r="R190">
        <v>72</v>
      </c>
    </row>
    <row r="191" spans="1:18" x14ac:dyDescent="0.3">
      <c r="A191" s="46">
        <v>43040</v>
      </c>
      <c r="B191" t="s">
        <v>5</v>
      </c>
      <c r="C191">
        <v>77</v>
      </c>
      <c r="P191" s="46">
        <v>43047</v>
      </c>
      <c r="Q191" t="s">
        <v>8</v>
      </c>
      <c r="R191">
        <v>103</v>
      </c>
    </row>
    <row r="192" spans="1:18" x14ac:dyDescent="0.3">
      <c r="A192" s="46">
        <v>43043</v>
      </c>
      <c r="B192" t="s">
        <v>5</v>
      </c>
      <c r="C192">
        <v>4</v>
      </c>
      <c r="P192" s="46">
        <v>43044</v>
      </c>
      <c r="Q192" t="s">
        <v>5</v>
      </c>
      <c r="R192">
        <v>88</v>
      </c>
    </row>
    <row r="193" spans="1:18" x14ac:dyDescent="0.3">
      <c r="A193" s="46">
        <v>43045</v>
      </c>
      <c r="B193" t="s">
        <v>13</v>
      </c>
      <c r="C193">
        <v>127</v>
      </c>
      <c r="P193" s="46">
        <v>43043</v>
      </c>
      <c r="Q193" t="s">
        <v>5</v>
      </c>
      <c r="R193">
        <v>134</v>
      </c>
    </row>
    <row r="194" spans="1:18" x14ac:dyDescent="0.3">
      <c r="A194" s="46">
        <v>43047</v>
      </c>
      <c r="B194" t="s">
        <v>5</v>
      </c>
      <c r="C194">
        <v>172</v>
      </c>
      <c r="P194" s="46">
        <v>43045</v>
      </c>
      <c r="Q194" t="s">
        <v>8</v>
      </c>
      <c r="R194">
        <v>40</v>
      </c>
    </row>
    <row r="195" spans="1:18" x14ac:dyDescent="0.3">
      <c r="A195" s="46">
        <v>43040</v>
      </c>
      <c r="B195" t="s">
        <v>8</v>
      </c>
      <c r="C195">
        <v>86</v>
      </c>
      <c r="P195" s="46">
        <v>43041</v>
      </c>
      <c r="Q195" t="s">
        <v>13</v>
      </c>
      <c r="R195">
        <v>19</v>
      </c>
    </row>
    <row r="196" spans="1:18" x14ac:dyDescent="0.3">
      <c r="A196" s="46">
        <v>43044</v>
      </c>
      <c r="B196" t="s">
        <v>13</v>
      </c>
      <c r="C196">
        <v>177</v>
      </c>
      <c r="P196" s="46">
        <v>43043</v>
      </c>
      <c r="Q196" t="s">
        <v>8</v>
      </c>
      <c r="R196">
        <v>6</v>
      </c>
    </row>
    <row r="197" spans="1:18" x14ac:dyDescent="0.3">
      <c r="A197" s="46">
        <v>43041</v>
      </c>
      <c r="B197" t="s">
        <v>8</v>
      </c>
      <c r="C197">
        <v>103</v>
      </c>
      <c r="P197" s="46">
        <v>43044</v>
      </c>
      <c r="Q197" t="s">
        <v>8</v>
      </c>
      <c r="R197">
        <v>93</v>
      </c>
    </row>
    <row r="198" spans="1:18" x14ac:dyDescent="0.3">
      <c r="A198" s="46">
        <v>43043</v>
      </c>
      <c r="B198" t="s">
        <v>13</v>
      </c>
      <c r="C198">
        <v>84</v>
      </c>
      <c r="P198" s="46">
        <v>43045</v>
      </c>
      <c r="Q198" t="s">
        <v>8</v>
      </c>
      <c r="R198">
        <v>147</v>
      </c>
    </row>
    <row r="199" spans="1:18" x14ac:dyDescent="0.3">
      <c r="A199" s="46">
        <v>43044</v>
      </c>
      <c r="B199" t="s">
        <v>8</v>
      </c>
      <c r="C199">
        <v>118</v>
      </c>
      <c r="P199" s="46">
        <v>43046</v>
      </c>
      <c r="Q199" t="s">
        <v>13</v>
      </c>
      <c r="R199">
        <v>37</v>
      </c>
    </row>
    <row r="200" spans="1:18" x14ac:dyDescent="0.3">
      <c r="A200" s="46">
        <v>43046</v>
      </c>
      <c r="B200" t="s">
        <v>5</v>
      </c>
      <c r="C200">
        <v>66</v>
      </c>
      <c r="P200" s="46">
        <v>43045</v>
      </c>
      <c r="Q200" t="s">
        <v>13</v>
      </c>
      <c r="R200">
        <v>8</v>
      </c>
    </row>
    <row r="201" spans="1:18" x14ac:dyDescent="0.3">
      <c r="A201" s="46">
        <v>43042</v>
      </c>
      <c r="B201" t="s">
        <v>8</v>
      </c>
      <c r="C201">
        <v>168</v>
      </c>
      <c r="P201" s="46">
        <v>43044</v>
      </c>
      <c r="Q201" t="s">
        <v>7</v>
      </c>
      <c r="R201">
        <v>137</v>
      </c>
    </row>
    <row r="202" spans="1:18" x14ac:dyDescent="0.3">
      <c r="A202" s="46">
        <v>43043</v>
      </c>
      <c r="B202" t="s">
        <v>13</v>
      </c>
      <c r="C202">
        <v>155</v>
      </c>
      <c r="P202" s="46">
        <v>43041</v>
      </c>
      <c r="Q202" t="s">
        <v>13</v>
      </c>
      <c r="R202">
        <v>100</v>
      </c>
    </row>
    <row r="203" spans="1:18" x14ac:dyDescent="0.3">
      <c r="A203" s="46">
        <v>43045</v>
      </c>
      <c r="B203" t="s">
        <v>13</v>
      </c>
      <c r="C203">
        <v>145</v>
      </c>
      <c r="P203" s="46">
        <v>43045</v>
      </c>
      <c r="Q203" t="s">
        <v>5</v>
      </c>
      <c r="R203">
        <v>143</v>
      </c>
    </row>
    <row r="204" spans="1:18" x14ac:dyDescent="0.3">
      <c r="A204" s="46">
        <v>43040</v>
      </c>
      <c r="B204" t="s">
        <v>13</v>
      </c>
      <c r="C204">
        <v>98</v>
      </c>
      <c r="P204" s="46">
        <v>43046</v>
      </c>
      <c r="Q204" t="s">
        <v>13</v>
      </c>
      <c r="R204">
        <v>99</v>
      </c>
    </row>
    <row r="205" spans="1:18" x14ac:dyDescent="0.3">
      <c r="A205" s="46">
        <v>43045</v>
      </c>
      <c r="B205" t="s">
        <v>13</v>
      </c>
      <c r="C205">
        <v>46</v>
      </c>
      <c r="P205" s="46">
        <v>43046</v>
      </c>
      <c r="Q205" t="s">
        <v>7</v>
      </c>
      <c r="R205">
        <v>171</v>
      </c>
    </row>
    <row r="206" spans="1:18" x14ac:dyDescent="0.3">
      <c r="A206" s="46">
        <v>43040</v>
      </c>
      <c r="B206" t="s">
        <v>7</v>
      </c>
      <c r="C206">
        <v>42</v>
      </c>
      <c r="P206" s="46">
        <v>43047</v>
      </c>
      <c r="Q206" t="s">
        <v>13</v>
      </c>
      <c r="R206">
        <v>30</v>
      </c>
    </row>
    <row r="207" spans="1:18" x14ac:dyDescent="0.3">
      <c r="A207" s="46">
        <v>43047</v>
      </c>
      <c r="B207" t="s">
        <v>13</v>
      </c>
      <c r="C207">
        <v>156</v>
      </c>
      <c r="P207" s="46">
        <v>43046</v>
      </c>
      <c r="Q207" t="s">
        <v>13</v>
      </c>
      <c r="R207">
        <v>145</v>
      </c>
    </row>
    <row r="208" spans="1:18" x14ac:dyDescent="0.3">
      <c r="A208" s="46">
        <v>43040</v>
      </c>
      <c r="B208" t="s">
        <v>8</v>
      </c>
      <c r="C208">
        <v>20</v>
      </c>
      <c r="P208" s="46">
        <v>43041</v>
      </c>
      <c r="Q208" t="s">
        <v>8</v>
      </c>
      <c r="R208">
        <v>125</v>
      </c>
    </row>
    <row r="209" spans="1:18" x14ac:dyDescent="0.3">
      <c r="A209" s="46">
        <v>43045</v>
      </c>
      <c r="B209" t="s">
        <v>13</v>
      </c>
      <c r="C209">
        <v>75</v>
      </c>
      <c r="P209" s="46">
        <v>43042</v>
      </c>
      <c r="Q209" t="s">
        <v>13</v>
      </c>
      <c r="R209">
        <v>25</v>
      </c>
    </row>
    <row r="210" spans="1:18" x14ac:dyDescent="0.3">
      <c r="A210" s="46">
        <v>43042</v>
      </c>
      <c r="B210" t="s">
        <v>13</v>
      </c>
      <c r="C210">
        <v>108</v>
      </c>
      <c r="P210" s="46">
        <v>43045</v>
      </c>
      <c r="Q210" t="s">
        <v>5</v>
      </c>
      <c r="R210">
        <v>126</v>
      </c>
    </row>
    <row r="211" spans="1:18" x14ac:dyDescent="0.3">
      <c r="A211" s="46">
        <v>43043</v>
      </c>
      <c r="B211" t="s">
        <v>5</v>
      </c>
      <c r="C211">
        <v>129</v>
      </c>
      <c r="P211" s="46">
        <v>43045</v>
      </c>
      <c r="Q211" t="s">
        <v>13</v>
      </c>
      <c r="R211">
        <v>18</v>
      </c>
    </row>
    <row r="212" spans="1:18" x14ac:dyDescent="0.3">
      <c r="A212" s="46">
        <v>43044</v>
      </c>
      <c r="B212" t="s">
        <v>7</v>
      </c>
      <c r="C212">
        <v>113</v>
      </c>
      <c r="P212" s="46">
        <v>43044</v>
      </c>
      <c r="Q212" t="s">
        <v>5</v>
      </c>
      <c r="R212">
        <v>161</v>
      </c>
    </row>
    <row r="213" spans="1:18" x14ac:dyDescent="0.3">
      <c r="A213" s="46">
        <v>43040</v>
      </c>
      <c r="B213" t="s">
        <v>5</v>
      </c>
      <c r="C213">
        <v>118</v>
      </c>
      <c r="P213" s="46">
        <v>43043</v>
      </c>
      <c r="Q213" t="s">
        <v>13</v>
      </c>
      <c r="R213">
        <v>166</v>
      </c>
    </row>
    <row r="214" spans="1:18" x14ac:dyDescent="0.3">
      <c r="A214" s="46">
        <v>43041</v>
      </c>
      <c r="B214" t="s">
        <v>7</v>
      </c>
      <c r="C214">
        <v>46</v>
      </c>
      <c r="P214" s="46">
        <v>43042</v>
      </c>
      <c r="Q214" t="s">
        <v>5</v>
      </c>
      <c r="R214">
        <v>29</v>
      </c>
    </row>
    <row r="215" spans="1:18" x14ac:dyDescent="0.3">
      <c r="A215" s="46">
        <v>43043</v>
      </c>
      <c r="B215" t="s">
        <v>13</v>
      </c>
      <c r="C215">
        <v>72</v>
      </c>
      <c r="P215" s="46">
        <v>43041</v>
      </c>
      <c r="Q215" t="s">
        <v>7</v>
      </c>
      <c r="R215">
        <v>63</v>
      </c>
    </row>
    <row r="216" spans="1:18" x14ac:dyDescent="0.3">
      <c r="A216" s="46">
        <v>43046</v>
      </c>
      <c r="B216" t="s">
        <v>13</v>
      </c>
      <c r="C216">
        <v>96</v>
      </c>
      <c r="P216" s="46">
        <v>43043</v>
      </c>
      <c r="Q216" t="s">
        <v>7</v>
      </c>
      <c r="R216">
        <v>11</v>
      </c>
    </row>
    <row r="217" spans="1:18" x14ac:dyDescent="0.3">
      <c r="A217" s="46">
        <v>43042</v>
      </c>
      <c r="B217" t="s">
        <v>13</v>
      </c>
      <c r="C217">
        <v>69</v>
      </c>
      <c r="P217" s="46">
        <v>43044</v>
      </c>
      <c r="Q217" t="s">
        <v>8</v>
      </c>
      <c r="R217">
        <v>157</v>
      </c>
    </row>
    <row r="218" spans="1:18" x14ac:dyDescent="0.3">
      <c r="A218" s="46">
        <v>43042</v>
      </c>
      <c r="B218" t="s">
        <v>5</v>
      </c>
      <c r="C218">
        <v>149</v>
      </c>
      <c r="P218" s="46">
        <v>43042</v>
      </c>
      <c r="Q218" t="s">
        <v>13</v>
      </c>
      <c r="R218">
        <v>12</v>
      </c>
    </row>
    <row r="219" spans="1:18" x14ac:dyDescent="0.3">
      <c r="A219" s="46">
        <v>43040</v>
      </c>
      <c r="B219" t="s">
        <v>5</v>
      </c>
      <c r="C219">
        <v>38</v>
      </c>
      <c r="P219" s="46">
        <v>43045</v>
      </c>
      <c r="Q219" t="s">
        <v>8</v>
      </c>
      <c r="R219">
        <v>71</v>
      </c>
    </row>
    <row r="220" spans="1:18" x14ac:dyDescent="0.3">
      <c r="A220" s="46">
        <v>43042</v>
      </c>
      <c r="B220" t="s">
        <v>7</v>
      </c>
      <c r="C220">
        <v>161</v>
      </c>
      <c r="P220" s="46">
        <v>43043</v>
      </c>
      <c r="Q220" t="s">
        <v>5</v>
      </c>
      <c r="R220">
        <v>153</v>
      </c>
    </row>
    <row r="221" spans="1:18" x14ac:dyDescent="0.3">
      <c r="A221" s="46">
        <v>43043</v>
      </c>
      <c r="B221" t="s">
        <v>13</v>
      </c>
      <c r="C221">
        <v>157</v>
      </c>
      <c r="P221" s="46">
        <v>43044</v>
      </c>
      <c r="Q221" t="s">
        <v>7</v>
      </c>
      <c r="R221">
        <v>95</v>
      </c>
    </row>
    <row r="222" spans="1:18" x14ac:dyDescent="0.3">
      <c r="A222" s="46">
        <v>43040</v>
      </c>
      <c r="B222" t="s">
        <v>7</v>
      </c>
      <c r="C222">
        <v>86</v>
      </c>
      <c r="P222" s="46">
        <v>43044</v>
      </c>
      <c r="Q222" t="s">
        <v>7</v>
      </c>
      <c r="R222">
        <v>31</v>
      </c>
    </row>
    <row r="223" spans="1:18" x14ac:dyDescent="0.3">
      <c r="A223" s="46">
        <v>43042</v>
      </c>
      <c r="B223" t="s">
        <v>5</v>
      </c>
      <c r="C223">
        <v>78</v>
      </c>
      <c r="P223" s="46">
        <v>43044</v>
      </c>
      <c r="Q223" t="s">
        <v>5</v>
      </c>
      <c r="R223">
        <v>47</v>
      </c>
    </row>
    <row r="224" spans="1:18" x14ac:dyDescent="0.3">
      <c r="A224" s="46">
        <v>43040</v>
      </c>
      <c r="B224" t="s">
        <v>13</v>
      </c>
      <c r="C224">
        <v>125</v>
      </c>
      <c r="P224" s="46">
        <v>43044</v>
      </c>
      <c r="Q224" t="s">
        <v>5</v>
      </c>
      <c r="R224">
        <v>147</v>
      </c>
    </row>
    <row r="225" spans="1:18" x14ac:dyDescent="0.3">
      <c r="A225" s="46">
        <v>43045</v>
      </c>
      <c r="B225" t="s">
        <v>13</v>
      </c>
      <c r="C225">
        <v>48</v>
      </c>
      <c r="P225" s="46">
        <v>43047</v>
      </c>
      <c r="Q225" t="s">
        <v>13</v>
      </c>
      <c r="R225">
        <v>135</v>
      </c>
    </row>
    <row r="226" spans="1:18" x14ac:dyDescent="0.3">
      <c r="A226" s="46">
        <v>43047</v>
      </c>
      <c r="B226" t="s">
        <v>5</v>
      </c>
      <c r="C226">
        <v>71</v>
      </c>
      <c r="P226" s="46">
        <v>43040</v>
      </c>
      <c r="Q226" t="s">
        <v>13</v>
      </c>
      <c r="R226">
        <v>78</v>
      </c>
    </row>
    <row r="227" spans="1:18" x14ac:dyDescent="0.3">
      <c r="A227" s="46">
        <v>43043</v>
      </c>
      <c r="B227" t="s">
        <v>13</v>
      </c>
      <c r="C227">
        <v>32</v>
      </c>
      <c r="P227" s="46">
        <v>43046</v>
      </c>
      <c r="Q227" t="s">
        <v>13</v>
      </c>
      <c r="R227">
        <v>94</v>
      </c>
    </row>
    <row r="228" spans="1:18" x14ac:dyDescent="0.3">
      <c r="A228" s="46">
        <v>43045</v>
      </c>
      <c r="B228" t="s">
        <v>8</v>
      </c>
      <c r="C228">
        <v>161</v>
      </c>
      <c r="P228" s="46">
        <v>43040</v>
      </c>
      <c r="Q228" t="s">
        <v>8</v>
      </c>
      <c r="R228">
        <v>97</v>
      </c>
    </row>
    <row r="229" spans="1:18" x14ac:dyDescent="0.3">
      <c r="A229" s="46">
        <v>43047</v>
      </c>
      <c r="B229" t="s">
        <v>13</v>
      </c>
      <c r="C229">
        <v>65</v>
      </c>
      <c r="P229" s="46">
        <v>43045</v>
      </c>
      <c r="Q229" t="s">
        <v>7</v>
      </c>
      <c r="R229">
        <v>170</v>
      </c>
    </row>
    <row r="230" spans="1:18" x14ac:dyDescent="0.3">
      <c r="A230" s="46">
        <v>43040</v>
      </c>
      <c r="B230" t="s">
        <v>7</v>
      </c>
      <c r="C230">
        <v>189</v>
      </c>
      <c r="P230" s="46">
        <v>43046</v>
      </c>
      <c r="Q230" t="s">
        <v>7</v>
      </c>
      <c r="R230">
        <v>100</v>
      </c>
    </row>
    <row r="231" spans="1:18" x14ac:dyDescent="0.3">
      <c r="A231" s="46">
        <v>43045</v>
      </c>
      <c r="B231" t="s">
        <v>5</v>
      </c>
      <c r="C231">
        <v>181</v>
      </c>
      <c r="P231" s="46">
        <v>43041</v>
      </c>
      <c r="Q231" t="s">
        <v>13</v>
      </c>
      <c r="R231">
        <v>57</v>
      </c>
    </row>
    <row r="232" spans="1:18" x14ac:dyDescent="0.3">
      <c r="A232" s="46">
        <v>43044</v>
      </c>
      <c r="B232" t="s">
        <v>13</v>
      </c>
      <c r="C232">
        <v>48</v>
      </c>
      <c r="P232" s="46">
        <v>43044</v>
      </c>
      <c r="Q232" t="s">
        <v>5</v>
      </c>
      <c r="R232">
        <v>133</v>
      </c>
    </row>
    <row r="233" spans="1:18" x14ac:dyDescent="0.3">
      <c r="A233" s="46">
        <v>43044</v>
      </c>
      <c r="B233" t="s">
        <v>13</v>
      </c>
      <c r="C233">
        <v>132</v>
      </c>
      <c r="P233" s="46">
        <v>43045</v>
      </c>
      <c r="Q233" t="s">
        <v>8</v>
      </c>
      <c r="R233">
        <v>176</v>
      </c>
    </row>
    <row r="234" spans="1:18" x14ac:dyDescent="0.3">
      <c r="A234" s="46">
        <v>43045</v>
      </c>
      <c r="B234" t="s">
        <v>5</v>
      </c>
      <c r="C234">
        <v>54</v>
      </c>
      <c r="P234" s="46">
        <v>43041</v>
      </c>
      <c r="Q234" t="s">
        <v>13</v>
      </c>
      <c r="R234">
        <v>165</v>
      </c>
    </row>
    <row r="235" spans="1:18" x14ac:dyDescent="0.3">
      <c r="A235" s="46">
        <v>43044</v>
      </c>
      <c r="B235" t="s">
        <v>5</v>
      </c>
      <c r="C235">
        <v>103</v>
      </c>
      <c r="P235" s="46">
        <v>43040</v>
      </c>
      <c r="Q235" t="s">
        <v>8</v>
      </c>
      <c r="R235">
        <v>182</v>
      </c>
    </row>
    <row r="236" spans="1:18" x14ac:dyDescent="0.3">
      <c r="A236" s="46">
        <v>43043</v>
      </c>
      <c r="B236" t="s">
        <v>8</v>
      </c>
      <c r="C236">
        <v>129</v>
      </c>
      <c r="P236" s="46">
        <v>43043</v>
      </c>
      <c r="Q236" t="s">
        <v>7</v>
      </c>
      <c r="R236">
        <v>72</v>
      </c>
    </row>
    <row r="237" spans="1:18" x14ac:dyDescent="0.3">
      <c r="A237" s="46">
        <v>43042</v>
      </c>
      <c r="B237" t="s">
        <v>5</v>
      </c>
      <c r="C237">
        <v>104</v>
      </c>
      <c r="P237" s="46">
        <v>43045</v>
      </c>
      <c r="Q237" t="s">
        <v>7</v>
      </c>
      <c r="R237">
        <v>45</v>
      </c>
    </row>
    <row r="238" spans="1:18" x14ac:dyDescent="0.3">
      <c r="A238" s="46">
        <v>43047</v>
      </c>
      <c r="B238" t="s">
        <v>8</v>
      </c>
      <c r="C238">
        <v>121</v>
      </c>
      <c r="P238" s="46">
        <v>43047</v>
      </c>
      <c r="Q238" t="s">
        <v>5</v>
      </c>
      <c r="R238">
        <v>52</v>
      </c>
    </row>
    <row r="239" spans="1:18" x14ac:dyDescent="0.3">
      <c r="A239" s="46">
        <v>43043</v>
      </c>
      <c r="B239" t="s">
        <v>13</v>
      </c>
      <c r="C239">
        <v>148</v>
      </c>
      <c r="P239" s="46">
        <v>43047</v>
      </c>
      <c r="Q239" t="s">
        <v>8</v>
      </c>
      <c r="R239">
        <v>10</v>
      </c>
    </row>
    <row r="240" spans="1:18" x14ac:dyDescent="0.3">
      <c r="A240" s="46">
        <v>43044</v>
      </c>
      <c r="B240" t="s">
        <v>13</v>
      </c>
      <c r="C240">
        <v>79</v>
      </c>
      <c r="P240" s="46">
        <v>43046</v>
      </c>
      <c r="Q240" t="s">
        <v>13</v>
      </c>
      <c r="R240">
        <v>167</v>
      </c>
    </row>
    <row r="241" spans="1:18" x14ac:dyDescent="0.3">
      <c r="A241" s="46">
        <v>43046</v>
      </c>
      <c r="B241" t="s">
        <v>5</v>
      </c>
      <c r="C241">
        <v>180</v>
      </c>
      <c r="P241" s="46">
        <v>43041</v>
      </c>
      <c r="Q241" t="s">
        <v>13</v>
      </c>
      <c r="R241">
        <v>49</v>
      </c>
    </row>
    <row r="242" spans="1:18" x14ac:dyDescent="0.3">
      <c r="A242" s="46">
        <v>43040</v>
      </c>
      <c r="B242" t="s">
        <v>5</v>
      </c>
      <c r="C242">
        <v>154</v>
      </c>
      <c r="P242" s="46">
        <v>43044</v>
      </c>
      <c r="Q242" t="s">
        <v>8</v>
      </c>
      <c r="R242">
        <v>51</v>
      </c>
    </row>
    <row r="243" spans="1:18" x14ac:dyDescent="0.3">
      <c r="A243" s="46">
        <v>43047</v>
      </c>
      <c r="B243" t="s">
        <v>13</v>
      </c>
      <c r="C243">
        <v>103</v>
      </c>
      <c r="P243" s="46">
        <v>43044</v>
      </c>
      <c r="Q243" t="s">
        <v>8</v>
      </c>
      <c r="R243">
        <v>146</v>
      </c>
    </row>
    <row r="244" spans="1:18" x14ac:dyDescent="0.3">
      <c r="A244" s="46">
        <v>43047</v>
      </c>
      <c r="B244" t="s">
        <v>7</v>
      </c>
      <c r="C244">
        <v>161</v>
      </c>
      <c r="P244" s="46">
        <v>43043</v>
      </c>
      <c r="Q244" t="s">
        <v>7</v>
      </c>
      <c r="R244">
        <v>138</v>
      </c>
    </row>
    <row r="245" spans="1:18" x14ac:dyDescent="0.3">
      <c r="A245" s="46">
        <v>43047</v>
      </c>
      <c r="B245" t="s">
        <v>5</v>
      </c>
      <c r="C245">
        <v>96</v>
      </c>
      <c r="P245" s="46">
        <v>43047</v>
      </c>
      <c r="Q245" t="s">
        <v>7</v>
      </c>
      <c r="R245">
        <v>162</v>
      </c>
    </row>
    <row r="246" spans="1:18" x14ac:dyDescent="0.3">
      <c r="A246" s="46">
        <v>43044</v>
      </c>
      <c r="B246" t="s">
        <v>5</v>
      </c>
      <c r="C246">
        <v>180</v>
      </c>
      <c r="P246" s="46">
        <v>43046</v>
      </c>
      <c r="Q246" t="s">
        <v>8</v>
      </c>
      <c r="R246">
        <v>134</v>
      </c>
    </row>
    <row r="247" spans="1:18" x14ac:dyDescent="0.3">
      <c r="A247" s="46">
        <v>43047</v>
      </c>
      <c r="B247" t="s">
        <v>13</v>
      </c>
      <c r="C247">
        <v>40</v>
      </c>
      <c r="P247" s="46">
        <v>43046</v>
      </c>
      <c r="Q247" t="s">
        <v>7</v>
      </c>
      <c r="R247">
        <v>177</v>
      </c>
    </row>
    <row r="248" spans="1:18" x14ac:dyDescent="0.3">
      <c r="A248" s="46">
        <v>43043</v>
      </c>
      <c r="B248" t="s">
        <v>8</v>
      </c>
      <c r="C248">
        <v>127</v>
      </c>
      <c r="P248" s="46">
        <v>43046</v>
      </c>
      <c r="Q248" t="s">
        <v>13</v>
      </c>
      <c r="R248">
        <v>131</v>
      </c>
    </row>
    <row r="249" spans="1:18" x14ac:dyDescent="0.3">
      <c r="A249" s="46">
        <v>43047</v>
      </c>
      <c r="B249" t="s">
        <v>7</v>
      </c>
      <c r="C249">
        <v>165</v>
      </c>
      <c r="P249" s="46">
        <v>43045</v>
      </c>
      <c r="Q249" t="s">
        <v>13</v>
      </c>
      <c r="R249">
        <v>97</v>
      </c>
    </row>
    <row r="250" spans="1:18" x14ac:dyDescent="0.3">
      <c r="A250" s="46">
        <v>43047</v>
      </c>
      <c r="B250" t="s">
        <v>7</v>
      </c>
      <c r="C250">
        <v>148</v>
      </c>
      <c r="P250" s="46">
        <v>43040</v>
      </c>
      <c r="Q250" t="s">
        <v>8</v>
      </c>
      <c r="R250">
        <v>67</v>
      </c>
    </row>
    <row r="251" spans="1:18" x14ac:dyDescent="0.3">
      <c r="A251" s="46">
        <v>43045</v>
      </c>
      <c r="B251" t="s">
        <v>5</v>
      </c>
      <c r="C251">
        <v>132</v>
      </c>
      <c r="P251" s="46">
        <v>43047</v>
      </c>
      <c r="Q251" t="s">
        <v>8</v>
      </c>
      <c r="R251">
        <v>91</v>
      </c>
    </row>
    <row r="252" spans="1:18" x14ac:dyDescent="0.3">
      <c r="A252" s="46">
        <v>43045</v>
      </c>
      <c r="B252" t="s">
        <v>7</v>
      </c>
      <c r="C252">
        <v>24</v>
      </c>
      <c r="P252" s="46">
        <v>43045</v>
      </c>
      <c r="Q252" t="s">
        <v>7</v>
      </c>
      <c r="R252">
        <v>24</v>
      </c>
    </row>
    <row r="253" spans="1:18" x14ac:dyDescent="0.3">
      <c r="A253" s="46">
        <v>43042</v>
      </c>
      <c r="B253" t="s">
        <v>13</v>
      </c>
      <c r="C253">
        <v>131</v>
      </c>
      <c r="P253" s="46">
        <v>43047</v>
      </c>
      <c r="Q253" t="s">
        <v>8</v>
      </c>
      <c r="R253">
        <v>84</v>
      </c>
    </row>
    <row r="254" spans="1:18" x14ac:dyDescent="0.3">
      <c r="A254" s="46">
        <v>43045</v>
      </c>
      <c r="B254" t="s">
        <v>7</v>
      </c>
      <c r="C254">
        <v>38</v>
      </c>
      <c r="P254" s="46">
        <v>43042</v>
      </c>
      <c r="Q254" t="s">
        <v>7</v>
      </c>
      <c r="R254">
        <v>137</v>
      </c>
    </row>
    <row r="255" spans="1:18" x14ac:dyDescent="0.3">
      <c r="A255" s="46">
        <v>43042</v>
      </c>
      <c r="B255" t="s">
        <v>7</v>
      </c>
      <c r="C255">
        <v>114</v>
      </c>
      <c r="P255" s="46">
        <v>43045</v>
      </c>
      <c r="Q255" t="s">
        <v>8</v>
      </c>
      <c r="R255">
        <v>176</v>
      </c>
    </row>
    <row r="256" spans="1:18" x14ac:dyDescent="0.3">
      <c r="A256" s="46">
        <v>43042</v>
      </c>
      <c r="B256" t="s">
        <v>8</v>
      </c>
      <c r="C256">
        <v>27</v>
      </c>
      <c r="P256" s="46">
        <v>43045</v>
      </c>
      <c r="Q256" t="s">
        <v>13</v>
      </c>
      <c r="R256">
        <v>30</v>
      </c>
    </row>
    <row r="257" spans="1:18" x14ac:dyDescent="0.3">
      <c r="A257" s="46">
        <v>43046</v>
      </c>
      <c r="B257" t="s">
        <v>8</v>
      </c>
      <c r="C257">
        <v>29</v>
      </c>
      <c r="P257" s="46">
        <v>43042</v>
      </c>
      <c r="Q257" t="s">
        <v>7</v>
      </c>
      <c r="R257">
        <v>7</v>
      </c>
    </row>
    <row r="258" spans="1:18" x14ac:dyDescent="0.3">
      <c r="A258" s="46">
        <v>43041</v>
      </c>
      <c r="B258" t="s">
        <v>7</v>
      </c>
      <c r="C258">
        <v>155</v>
      </c>
      <c r="P258" s="46">
        <v>43046</v>
      </c>
      <c r="Q258" t="s">
        <v>8</v>
      </c>
      <c r="R258">
        <v>168</v>
      </c>
    </row>
    <row r="259" spans="1:18" x14ac:dyDescent="0.3">
      <c r="A259" s="46">
        <v>43041</v>
      </c>
      <c r="B259" t="s">
        <v>7</v>
      </c>
      <c r="C259">
        <v>45</v>
      </c>
      <c r="P259" s="46">
        <v>43045</v>
      </c>
      <c r="Q259" t="s">
        <v>5</v>
      </c>
      <c r="R259">
        <v>23</v>
      </c>
    </row>
    <row r="260" spans="1:18" x14ac:dyDescent="0.3">
      <c r="A260" s="46">
        <v>43043</v>
      </c>
      <c r="B260" t="s">
        <v>5</v>
      </c>
      <c r="C260">
        <v>156</v>
      </c>
      <c r="P260" s="46">
        <v>43040</v>
      </c>
      <c r="Q260" t="s">
        <v>13</v>
      </c>
      <c r="R260">
        <v>109</v>
      </c>
    </row>
    <row r="261" spans="1:18" x14ac:dyDescent="0.3">
      <c r="A261" s="46">
        <v>43043</v>
      </c>
      <c r="B261" t="s">
        <v>8</v>
      </c>
      <c r="C261">
        <v>81</v>
      </c>
      <c r="P261" s="46">
        <v>43043</v>
      </c>
      <c r="Q261" t="s">
        <v>8</v>
      </c>
      <c r="R261">
        <v>45</v>
      </c>
    </row>
    <row r="262" spans="1:18" x14ac:dyDescent="0.3">
      <c r="A262" s="46">
        <v>43040</v>
      </c>
      <c r="B262" t="s">
        <v>13</v>
      </c>
      <c r="C262">
        <v>56</v>
      </c>
      <c r="P262" s="46">
        <v>43040</v>
      </c>
      <c r="Q262" t="s">
        <v>5</v>
      </c>
      <c r="R262">
        <v>86</v>
      </c>
    </row>
    <row r="263" spans="1:18" x14ac:dyDescent="0.3">
      <c r="A263" s="46">
        <v>43043</v>
      </c>
      <c r="B263" t="s">
        <v>8</v>
      </c>
      <c r="C263">
        <v>12</v>
      </c>
      <c r="P263" s="46">
        <v>43043</v>
      </c>
      <c r="Q263" t="s">
        <v>8</v>
      </c>
      <c r="R263">
        <v>130</v>
      </c>
    </row>
    <row r="264" spans="1:18" x14ac:dyDescent="0.3">
      <c r="A264" s="46">
        <v>43046</v>
      </c>
      <c r="B264" t="s">
        <v>7</v>
      </c>
      <c r="C264">
        <v>116</v>
      </c>
      <c r="P264" s="46">
        <v>43041</v>
      </c>
      <c r="Q264" t="s">
        <v>8</v>
      </c>
      <c r="R264">
        <v>61</v>
      </c>
    </row>
    <row r="265" spans="1:18" x14ac:dyDescent="0.3">
      <c r="A265" s="46">
        <v>43043</v>
      </c>
      <c r="B265" t="s">
        <v>13</v>
      </c>
      <c r="C265">
        <v>145</v>
      </c>
      <c r="P265" s="46">
        <v>43044</v>
      </c>
      <c r="Q265" t="s">
        <v>8</v>
      </c>
      <c r="R265">
        <v>134</v>
      </c>
    </row>
    <row r="266" spans="1:18" x14ac:dyDescent="0.3">
      <c r="A266" s="46">
        <v>43044</v>
      </c>
      <c r="B266" t="s">
        <v>5</v>
      </c>
      <c r="C266">
        <v>19</v>
      </c>
      <c r="P266" s="46">
        <v>43047</v>
      </c>
      <c r="Q266" t="s">
        <v>5</v>
      </c>
      <c r="R266">
        <v>62</v>
      </c>
    </row>
    <row r="267" spans="1:18" x14ac:dyDescent="0.3">
      <c r="A267" s="46">
        <v>43041</v>
      </c>
      <c r="B267" t="s">
        <v>13</v>
      </c>
      <c r="C267">
        <v>27</v>
      </c>
      <c r="P267" s="46">
        <v>43044</v>
      </c>
      <c r="Q267" t="s">
        <v>7</v>
      </c>
      <c r="R267">
        <v>85</v>
      </c>
    </row>
    <row r="268" spans="1:18" x14ac:dyDescent="0.3">
      <c r="A268" s="46">
        <v>43044</v>
      </c>
      <c r="B268" t="s">
        <v>13</v>
      </c>
      <c r="C268">
        <v>180</v>
      </c>
      <c r="P268" s="46">
        <v>43042</v>
      </c>
      <c r="Q268" t="s">
        <v>13</v>
      </c>
      <c r="R268">
        <v>22</v>
      </c>
    </row>
    <row r="269" spans="1:18" x14ac:dyDescent="0.3">
      <c r="A269" s="46">
        <v>43044</v>
      </c>
      <c r="B269" t="s">
        <v>5</v>
      </c>
      <c r="C269">
        <v>29</v>
      </c>
      <c r="P269" s="46">
        <v>43040</v>
      </c>
      <c r="Q269" t="s">
        <v>7</v>
      </c>
      <c r="R269">
        <v>2</v>
      </c>
    </row>
    <row r="270" spans="1:18" x14ac:dyDescent="0.3">
      <c r="A270" s="46">
        <v>43041</v>
      </c>
      <c r="B270" t="s">
        <v>5</v>
      </c>
      <c r="C270">
        <v>151</v>
      </c>
      <c r="P270" s="46">
        <v>43047</v>
      </c>
      <c r="Q270" t="s">
        <v>5</v>
      </c>
      <c r="R270">
        <v>89</v>
      </c>
    </row>
    <row r="271" spans="1:18" x14ac:dyDescent="0.3">
      <c r="A271" s="46">
        <v>43041</v>
      </c>
      <c r="B271" t="s">
        <v>7</v>
      </c>
      <c r="C271">
        <v>162</v>
      </c>
      <c r="P271" s="46">
        <v>43044</v>
      </c>
      <c r="Q271" t="s">
        <v>5</v>
      </c>
      <c r="R271">
        <v>142</v>
      </c>
    </row>
    <row r="272" spans="1:18" x14ac:dyDescent="0.3">
      <c r="A272" s="46">
        <v>43045</v>
      </c>
      <c r="B272" t="s">
        <v>13</v>
      </c>
      <c r="C272">
        <v>22</v>
      </c>
      <c r="P272" s="46">
        <v>43040</v>
      </c>
      <c r="Q272" t="s">
        <v>13</v>
      </c>
      <c r="R272">
        <v>182</v>
      </c>
    </row>
    <row r="273" spans="1:18" x14ac:dyDescent="0.3">
      <c r="A273" s="46">
        <v>43047</v>
      </c>
      <c r="B273" t="s">
        <v>8</v>
      </c>
      <c r="C273">
        <v>11</v>
      </c>
      <c r="P273" s="46">
        <v>43043</v>
      </c>
      <c r="Q273" t="s">
        <v>5</v>
      </c>
      <c r="R273">
        <v>165</v>
      </c>
    </row>
    <row r="274" spans="1:18" x14ac:dyDescent="0.3">
      <c r="A274" s="46">
        <v>43047</v>
      </c>
      <c r="B274" t="s">
        <v>13</v>
      </c>
      <c r="C274">
        <v>182</v>
      </c>
      <c r="P274" s="46">
        <v>43040</v>
      </c>
      <c r="Q274" t="s">
        <v>5</v>
      </c>
      <c r="R274">
        <v>128</v>
      </c>
    </row>
    <row r="275" spans="1:18" x14ac:dyDescent="0.3">
      <c r="A275" s="46">
        <v>43046</v>
      </c>
      <c r="B275" t="s">
        <v>7</v>
      </c>
      <c r="C275">
        <v>150</v>
      </c>
      <c r="P275" s="46">
        <v>43042</v>
      </c>
      <c r="Q275" t="s">
        <v>7</v>
      </c>
      <c r="R275">
        <v>180</v>
      </c>
    </row>
    <row r="276" spans="1:18" x14ac:dyDescent="0.3">
      <c r="A276" s="46">
        <v>43047</v>
      </c>
      <c r="B276" t="s">
        <v>8</v>
      </c>
      <c r="C276">
        <v>122</v>
      </c>
      <c r="P276" s="46">
        <v>43040</v>
      </c>
      <c r="Q276" t="s">
        <v>8</v>
      </c>
      <c r="R276">
        <v>89</v>
      </c>
    </row>
    <row r="277" spans="1:18" x14ac:dyDescent="0.3">
      <c r="A277" s="46">
        <v>43045</v>
      </c>
      <c r="B277" t="s">
        <v>13</v>
      </c>
      <c r="C277">
        <v>167</v>
      </c>
      <c r="P277" s="46">
        <v>43045</v>
      </c>
      <c r="Q277" t="s">
        <v>5</v>
      </c>
      <c r="R277">
        <v>134</v>
      </c>
    </row>
    <row r="278" spans="1:18" x14ac:dyDescent="0.3">
      <c r="A278" s="46">
        <v>43046</v>
      </c>
      <c r="B278" t="s">
        <v>7</v>
      </c>
      <c r="C278">
        <v>104</v>
      </c>
      <c r="P278" s="46">
        <v>43043</v>
      </c>
      <c r="Q278" t="s">
        <v>7</v>
      </c>
      <c r="R278">
        <v>191</v>
      </c>
    </row>
    <row r="279" spans="1:18" x14ac:dyDescent="0.3">
      <c r="A279" s="46">
        <v>43043</v>
      </c>
      <c r="B279" t="s">
        <v>13</v>
      </c>
      <c r="C279">
        <v>41</v>
      </c>
      <c r="P279" s="46">
        <v>43041</v>
      </c>
      <c r="Q279" t="s">
        <v>13</v>
      </c>
      <c r="R279">
        <v>191</v>
      </c>
    </row>
    <row r="280" spans="1:18" x14ac:dyDescent="0.3">
      <c r="A280" s="46">
        <v>43046</v>
      </c>
      <c r="B280" t="s">
        <v>13</v>
      </c>
      <c r="C280">
        <v>32</v>
      </c>
      <c r="P280" s="46">
        <v>43046</v>
      </c>
      <c r="Q280" t="s">
        <v>13</v>
      </c>
      <c r="R280">
        <v>81</v>
      </c>
    </row>
    <row r="281" spans="1:18" x14ac:dyDescent="0.3">
      <c r="A281" s="46">
        <v>43045</v>
      </c>
      <c r="B281" t="s">
        <v>8</v>
      </c>
      <c r="C281">
        <v>104</v>
      </c>
      <c r="P281" s="46">
        <v>43044</v>
      </c>
      <c r="Q281" t="s">
        <v>8</v>
      </c>
      <c r="R281">
        <v>164</v>
      </c>
    </row>
    <row r="282" spans="1:18" x14ac:dyDescent="0.3">
      <c r="A282" s="46">
        <v>43042</v>
      </c>
      <c r="B282" t="s">
        <v>5</v>
      </c>
      <c r="C282">
        <v>15</v>
      </c>
      <c r="P282" s="46">
        <v>43043</v>
      </c>
      <c r="Q282" t="s">
        <v>7</v>
      </c>
      <c r="R282">
        <v>65</v>
      </c>
    </row>
    <row r="283" spans="1:18" x14ac:dyDescent="0.3">
      <c r="A283" s="46">
        <v>43043</v>
      </c>
      <c r="B283" t="s">
        <v>5</v>
      </c>
      <c r="C283">
        <v>70</v>
      </c>
      <c r="P283" s="46">
        <v>43043</v>
      </c>
      <c r="Q283" t="s">
        <v>7</v>
      </c>
      <c r="R283">
        <v>183</v>
      </c>
    </row>
    <row r="284" spans="1:18" x14ac:dyDescent="0.3">
      <c r="A284" s="46">
        <v>43047</v>
      </c>
      <c r="B284" t="s">
        <v>13</v>
      </c>
      <c r="C284">
        <v>173</v>
      </c>
      <c r="P284" s="46">
        <v>43040</v>
      </c>
      <c r="Q284" t="s">
        <v>5</v>
      </c>
      <c r="R284">
        <v>82</v>
      </c>
    </row>
    <row r="285" spans="1:18" x14ac:dyDescent="0.3">
      <c r="A285" s="46">
        <v>43042</v>
      </c>
      <c r="B285" t="s">
        <v>13</v>
      </c>
      <c r="C285">
        <v>69</v>
      </c>
      <c r="P285" s="46">
        <v>43041</v>
      </c>
      <c r="Q285" t="s">
        <v>7</v>
      </c>
      <c r="R285">
        <v>75</v>
      </c>
    </row>
    <row r="286" spans="1:18" x14ac:dyDescent="0.3">
      <c r="A286" s="46">
        <v>43047</v>
      </c>
      <c r="B286" t="s">
        <v>7</v>
      </c>
      <c r="C286">
        <v>29</v>
      </c>
      <c r="P286" s="46">
        <v>43041</v>
      </c>
      <c r="Q286" t="s">
        <v>5</v>
      </c>
      <c r="R286">
        <v>88</v>
      </c>
    </row>
    <row r="287" spans="1:18" x14ac:dyDescent="0.3">
      <c r="A287" s="46">
        <v>43042</v>
      </c>
      <c r="B287" t="s">
        <v>8</v>
      </c>
      <c r="C287">
        <v>185</v>
      </c>
      <c r="P287" s="46">
        <v>43047</v>
      </c>
      <c r="Q287" t="s">
        <v>5</v>
      </c>
      <c r="R287">
        <v>14</v>
      </c>
    </row>
    <row r="288" spans="1:18" x14ac:dyDescent="0.3">
      <c r="A288" s="46">
        <v>43040</v>
      </c>
      <c r="B288" t="s">
        <v>5</v>
      </c>
      <c r="C288">
        <v>123</v>
      </c>
      <c r="P288" s="46">
        <v>43044</v>
      </c>
      <c r="Q288" t="s">
        <v>5</v>
      </c>
      <c r="R288">
        <v>124</v>
      </c>
    </row>
    <row r="289" spans="1:18" x14ac:dyDescent="0.3">
      <c r="A289" s="46">
        <v>43043</v>
      </c>
      <c r="B289" t="s">
        <v>7</v>
      </c>
      <c r="C289">
        <v>156</v>
      </c>
      <c r="P289" s="46">
        <v>43043</v>
      </c>
      <c r="Q289" t="s">
        <v>7</v>
      </c>
      <c r="R289">
        <v>153</v>
      </c>
    </row>
    <row r="290" spans="1:18" x14ac:dyDescent="0.3">
      <c r="A290" s="46">
        <v>43044</v>
      </c>
      <c r="B290" t="s">
        <v>8</v>
      </c>
      <c r="C290">
        <v>39</v>
      </c>
      <c r="P290" s="46">
        <v>43043</v>
      </c>
      <c r="Q290" t="s">
        <v>13</v>
      </c>
      <c r="R290">
        <v>113</v>
      </c>
    </row>
    <row r="291" spans="1:18" x14ac:dyDescent="0.3">
      <c r="A291" s="46">
        <v>43045</v>
      </c>
      <c r="B291" t="s">
        <v>7</v>
      </c>
      <c r="C291">
        <v>18</v>
      </c>
      <c r="P291" s="46">
        <v>43047</v>
      </c>
      <c r="Q291" t="s">
        <v>5</v>
      </c>
      <c r="R291">
        <v>94</v>
      </c>
    </row>
    <row r="292" spans="1:18" x14ac:dyDescent="0.3">
      <c r="A292" s="46">
        <v>43040</v>
      </c>
      <c r="B292" t="s">
        <v>8</v>
      </c>
      <c r="C292">
        <v>64</v>
      </c>
      <c r="P292" s="46">
        <v>43042</v>
      </c>
      <c r="Q292" t="s">
        <v>7</v>
      </c>
      <c r="R292">
        <v>16</v>
      </c>
    </row>
    <row r="293" spans="1:18" x14ac:dyDescent="0.3">
      <c r="A293" s="46">
        <v>43044</v>
      </c>
      <c r="B293" t="s">
        <v>7</v>
      </c>
      <c r="C293">
        <v>34</v>
      </c>
      <c r="P293" s="46">
        <v>43046</v>
      </c>
      <c r="Q293" t="s">
        <v>13</v>
      </c>
      <c r="R293">
        <v>156</v>
      </c>
    </row>
    <row r="294" spans="1:18" x14ac:dyDescent="0.3">
      <c r="A294" s="46">
        <v>43046</v>
      </c>
      <c r="B294" t="s">
        <v>13</v>
      </c>
      <c r="C294">
        <v>186</v>
      </c>
      <c r="P294" s="46">
        <v>43042</v>
      </c>
      <c r="Q294" t="s">
        <v>13</v>
      </c>
      <c r="R294">
        <v>16</v>
      </c>
    </row>
    <row r="295" spans="1:18" x14ac:dyDescent="0.3">
      <c r="A295" s="46">
        <v>43044</v>
      </c>
      <c r="B295" t="s">
        <v>7</v>
      </c>
      <c r="C295">
        <v>130</v>
      </c>
      <c r="P295" s="46">
        <v>43041</v>
      </c>
      <c r="Q295" t="s">
        <v>13</v>
      </c>
      <c r="R295">
        <v>165</v>
      </c>
    </row>
    <row r="296" spans="1:18" x14ac:dyDescent="0.3">
      <c r="A296" s="46">
        <v>43043</v>
      </c>
      <c r="B296" t="s">
        <v>8</v>
      </c>
      <c r="C296">
        <v>115</v>
      </c>
      <c r="P296" s="46">
        <v>43042</v>
      </c>
      <c r="Q296" t="s">
        <v>5</v>
      </c>
      <c r="R296">
        <v>108</v>
      </c>
    </row>
    <row r="297" spans="1:18" x14ac:dyDescent="0.3">
      <c r="A297" s="46">
        <v>43040</v>
      </c>
      <c r="B297" t="s">
        <v>13</v>
      </c>
      <c r="C297">
        <v>101</v>
      </c>
      <c r="P297" s="46">
        <v>43045</v>
      </c>
      <c r="Q297" t="s">
        <v>7</v>
      </c>
      <c r="R297">
        <v>158</v>
      </c>
    </row>
    <row r="298" spans="1:18" x14ac:dyDescent="0.3">
      <c r="A298" s="46">
        <v>43045</v>
      </c>
      <c r="B298" t="s">
        <v>5</v>
      </c>
      <c r="C298">
        <v>80</v>
      </c>
      <c r="P298" s="46">
        <v>43046</v>
      </c>
      <c r="Q298" t="s">
        <v>13</v>
      </c>
      <c r="R298">
        <v>107</v>
      </c>
    </row>
    <row r="299" spans="1:18" x14ac:dyDescent="0.3">
      <c r="A299" s="46">
        <v>43040</v>
      </c>
      <c r="B299" t="s">
        <v>13</v>
      </c>
      <c r="C299">
        <v>9</v>
      </c>
      <c r="P299" s="46">
        <v>43043</v>
      </c>
      <c r="Q299" t="s">
        <v>8</v>
      </c>
      <c r="R299">
        <v>127</v>
      </c>
    </row>
    <row r="300" spans="1:18" x14ac:dyDescent="0.3">
      <c r="A300" s="46">
        <v>43040</v>
      </c>
      <c r="B300" t="s">
        <v>13</v>
      </c>
      <c r="C300">
        <v>50</v>
      </c>
      <c r="P300" s="46">
        <v>43047</v>
      </c>
      <c r="Q300" t="s">
        <v>13</v>
      </c>
      <c r="R300">
        <v>120</v>
      </c>
    </row>
    <row r="301" spans="1:18" x14ac:dyDescent="0.3">
      <c r="A301" s="46">
        <v>43046</v>
      </c>
      <c r="B301" t="s">
        <v>5</v>
      </c>
      <c r="C301">
        <v>94</v>
      </c>
      <c r="P301" s="46">
        <v>43045</v>
      </c>
      <c r="Q301" t="s">
        <v>7</v>
      </c>
      <c r="R301">
        <v>69</v>
      </c>
    </row>
    <row r="302" spans="1:18" x14ac:dyDescent="0.3">
      <c r="A302" s="46">
        <v>43043</v>
      </c>
      <c r="B302" t="s">
        <v>7</v>
      </c>
      <c r="C302">
        <v>103</v>
      </c>
      <c r="P302" s="46">
        <v>43047</v>
      </c>
      <c r="Q302" t="s">
        <v>7</v>
      </c>
      <c r="R302">
        <v>186</v>
      </c>
    </row>
    <row r="303" spans="1:18" x14ac:dyDescent="0.3">
      <c r="A303" s="46">
        <v>43041</v>
      </c>
      <c r="B303" t="s">
        <v>7</v>
      </c>
      <c r="C303">
        <v>82</v>
      </c>
      <c r="P303" s="46">
        <v>43044</v>
      </c>
      <c r="Q303" t="s">
        <v>7</v>
      </c>
      <c r="R303">
        <v>171</v>
      </c>
    </row>
    <row r="304" spans="1:18" x14ac:dyDescent="0.3">
      <c r="A304" s="46">
        <v>43041</v>
      </c>
      <c r="B304" t="s">
        <v>7</v>
      </c>
      <c r="C304">
        <v>116</v>
      </c>
      <c r="P304" s="46">
        <v>43044</v>
      </c>
      <c r="Q304" t="s">
        <v>5</v>
      </c>
      <c r="R304">
        <v>99</v>
      </c>
    </row>
    <row r="305" spans="1:18" x14ac:dyDescent="0.3">
      <c r="A305" s="46">
        <v>43040</v>
      </c>
      <c r="B305" t="s">
        <v>13</v>
      </c>
      <c r="C305">
        <v>161</v>
      </c>
      <c r="P305" s="46">
        <v>43044</v>
      </c>
      <c r="Q305" t="s">
        <v>8</v>
      </c>
      <c r="R305">
        <v>164</v>
      </c>
    </row>
    <row r="306" spans="1:18" x14ac:dyDescent="0.3">
      <c r="A306" s="46">
        <v>43046</v>
      </c>
      <c r="B306" t="s">
        <v>5</v>
      </c>
      <c r="C306">
        <v>136</v>
      </c>
      <c r="P306" s="46">
        <v>43041</v>
      </c>
      <c r="Q306" t="s">
        <v>5</v>
      </c>
      <c r="R306">
        <v>158</v>
      </c>
    </row>
    <row r="307" spans="1:18" x14ac:dyDescent="0.3">
      <c r="A307" s="46">
        <v>43043</v>
      </c>
      <c r="B307" t="s">
        <v>13</v>
      </c>
      <c r="C307">
        <v>50</v>
      </c>
      <c r="P307" s="46">
        <v>43042</v>
      </c>
      <c r="Q307" t="s">
        <v>7</v>
      </c>
      <c r="R307">
        <v>156</v>
      </c>
    </row>
    <row r="308" spans="1:18" x14ac:dyDescent="0.3">
      <c r="A308" s="46">
        <v>43043</v>
      </c>
      <c r="B308" t="s">
        <v>7</v>
      </c>
      <c r="C308">
        <v>149</v>
      </c>
      <c r="P308" s="46">
        <v>43041</v>
      </c>
      <c r="Q308" t="s">
        <v>8</v>
      </c>
      <c r="R308">
        <v>152</v>
      </c>
    </row>
    <row r="309" spans="1:18" x14ac:dyDescent="0.3">
      <c r="A309" s="46">
        <v>43045</v>
      </c>
      <c r="B309" t="s">
        <v>8</v>
      </c>
      <c r="C309">
        <v>35</v>
      </c>
      <c r="P309" s="46">
        <v>43046</v>
      </c>
      <c r="Q309" t="s">
        <v>8</v>
      </c>
      <c r="R309">
        <v>158</v>
      </c>
    </row>
    <row r="310" spans="1:18" x14ac:dyDescent="0.3">
      <c r="A310" s="46">
        <v>43047</v>
      </c>
      <c r="B310" t="s">
        <v>7</v>
      </c>
      <c r="C310">
        <v>8</v>
      </c>
      <c r="P310" s="46">
        <v>43041</v>
      </c>
      <c r="Q310" t="s">
        <v>5</v>
      </c>
      <c r="R310">
        <v>190</v>
      </c>
    </row>
    <row r="311" spans="1:18" x14ac:dyDescent="0.3">
      <c r="A311" s="46">
        <v>43042</v>
      </c>
      <c r="B311" t="s">
        <v>5</v>
      </c>
      <c r="C311">
        <v>54</v>
      </c>
      <c r="P311" s="46">
        <v>43044</v>
      </c>
      <c r="Q311" t="s">
        <v>13</v>
      </c>
      <c r="R311">
        <v>11</v>
      </c>
    </row>
    <row r="312" spans="1:18" x14ac:dyDescent="0.3">
      <c r="A312" s="46">
        <v>43040</v>
      </c>
      <c r="B312" t="s">
        <v>5</v>
      </c>
      <c r="C312">
        <v>88</v>
      </c>
      <c r="P312" s="46">
        <v>43045</v>
      </c>
      <c r="Q312" t="s">
        <v>7</v>
      </c>
      <c r="R312">
        <v>4</v>
      </c>
    </row>
    <row r="313" spans="1:18" x14ac:dyDescent="0.3">
      <c r="A313" s="46">
        <v>43044</v>
      </c>
      <c r="B313" t="s">
        <v>5</v>
      </c>
      <c r="C313">
        <v>176</v>
      </c>
      <c r="P313" s="46">
        <v>43044</v>
      </c>
      <c r="Q313" t="s">
        <v>8</v>
      </c>
      <c r="R313">
        <v>101</v>
      </c>
    </row>
    <row r="314" spans="1:18" x14ac:dyDescent="0.3">
      <c r="A314" s="46">
        <v>43040</v>
      </c>
      <c r="B314" t="s">
        <v>5</v>
      </c>
      <c r="C314">
        <v>79</v>
      </c>
      <c r="P314" s="46">
        <v>43040</v>
      </c>
      <c r="Q314" t="s">
        <v>7</v>
      </c>
      <c r="R314">
        <v>8</v>
      </c>
    </row>
    <row r="315" spans="1:18" x14ac:dyDescent="0.3">
      <c r="A315" s="46">
        <v>43045</v>
      </c>
      <c r="B315" t="s">
        <v>13</v>
      </c>
      <c r="C315">
        <v>163</v>
      </c>
      <c r="P315" s="46">
        <v>43047</v>
      </c>
      <c r="Q315" t="s">
        <v>7</v>
      </c>
      <c r="R315">
        <v>140</v>
      </c>
    </row>
    <row r="316" spans="1:18" x14ac:dyDescent="0.3">
      <c r="A316" s="46">
        <v>43041</v>
      </c>
      <c r="B316" t="s">
        <v>8</v>
      </c>
      <c r="C316">
        <v>8</v>
      </c>
      <c r="P316" s="46">
        <v>43042</v>
      </c>
      <c r="Q316" t="s">
        <v>5</v>
      </c>
      <c r="R316">
        <v>148</v>
      </c>
    </row>
    <row r="317" spans="1:18" x14ac:dyDescent="0.3">
      <c r="A317" s="46">
        <v>43045</v>
      </c>
      <c r="B317" t="s">
        <v>7</v>
      </c>
      <c r="C317">
        <v>188</v>
      </c>
      <c r="P317" s="46">
        <v>43046</v>
      </c>
      <c r="Q317" t="s">
        <v>7</v>
      </c>
      <c r="R317">
        <v>174</v>
      </c>
    </row>
    <row r="318" spans="1:18" x14ac:dyDescent="0.3">
      <c r="A318" s="46">
        <v>43040</v>
      </c>
      <c r="B318" t="s">
        <v>5</v>
      </c>
      <c r="C318">
        <v>35</v>
      </c>
      <c r="P318" s="46">
        <v>43046</v>
      </c>
      <c r="Q318" t="s">
        <v>5</v>
      </c>
      <c r="R318">
        <v>112</v>
      </c>
    </row>
    <row r="319" spans="1:18" x14ac:dyDescent="0.3">
      <c r="A319" s="46">
        <v>43047</v>
      </c>
      <c r="B319" t="s">
        <v>8</v>
      </c>
      <c r="C319">
        <v>10</v>
      </c>
      <c r="P319" s="46">
        <v>43045</v>
      </c>
      <c r="Q319" t="s">
        <v>5</v>
      </c>
      <c r="R319">
        <v>12</v>
      </c>
    </row>
    <row r="320" spans="1:18" x14ac:dyDescent="0.3">
      <c r="A320" s="46">
        <v>43045</v>
      </c>
      <c r="B320" t="s">
        <v>5</v>
      </c>
      <c r="C320">
        <v>36</v>
      </c>
      <c r="P320" s="46">
        <v>43041</v>
      </c>
      <c r="Q320" t="s">
        <v>7</v>
      </c>
      <c r="R320">
        <v>55</v>
      </c>
    </row>
    <row r="321" spans="1:18" x14ac:dyDescent="0.3">
      <c r="A321" s="46">
        <v>43043</v>
      </c>
      <c r="B321" t="s">
        <v>7</v>
      </c>
      <c r="C321">
        <v>172</v>
      </c>
      <c r="P321" s="46">
        <v>43045</v>
      </c>
      <c r="Q321" t="s">
        <v>13</v>
      </c>
      <c r="R321">
        <v>29</v>
      </c>
    </row>
    <row r="322" spans="1:18" x14ac:dyDescent="0.3">
      <c r="A322" s="46">
        <v>43044</v>
      </c>
      <c r="B322" t="s">
        <v>13</v>
      </c>
      <c r="C322">
        <v>142</v>
      </c>
      <c r="P322" s="46">
        <v>43044</v>
      </c>
      <c r="Q322" t="s">
        <v>13</v>
      </c>
      <c r="R322">
        <v>23</v>
      </c>
    </row>
    <row r="323" spans="1:18" x14ac:dyDescent="0.3">
      <c r="A323" s="46">
        <v>43044</v>
      </c>
      <c r="B323" t="s">
        <v>8</v>
      </c>
      <c r="C323">
        <v>79</v>
      </c>
      <c r="P323" s="46">
        <v>43043</v>
      </c>
      <c r="Q323" t="s">
        <v>13</v>
      </c>
      <c r="R323">
        <v>31</v>
      </c>
    </row>
    <row r="324" spans="1:18" x14ac:dyDescent="0.3">
      <c r="A324" s="46">
        <v>43040</v>
      </c>
      <c r="B324" t="s">
        <v>7</v>
      </c>
      <c r="C324">
        <v>3</v>
      </c>
      <c r="P324" s="46">
        <v>43041</v>
      </c>
      <c r="Q324" t="s">
        <v>7</v>
      </c>
      <c r="R324">
        <v>152</v>
      </c>
    </row>
    <row r="325" spans="1:18" x14ac:dyDescent="0.3">
      <c r="A325" s="46">
        <v>43045</v>
      </c>
      <c r="B325" t="s">
        <v>5</v>
      </c>
      <c r="C325">
        <v>106</v>
      </c>
      <c r="P325" s="46">
        <v>43042</v>
      </c>
      <c r="Q325" t="s">
        <v>8</v>
      </c>
      <c r="R325">
        <v>113</v>
      </c>
    </row>
    <row r="326" spans="1:18" x14ac:dyDescent="0.3">
      <c r="A326" s="46">
        <v>43041</v>
      </c>
      <c r="B326" t="s">
        <v>8</v>
      </c>
      <c r="C326">
        <v>16</v>
      </c>
    </row>
    <row r="327" spans="1:18" x14ac:dyDescent="0.3">
      <c r="A327" s="46">
        <v>43042</v>
      </c>
      <c r="B327" t="s">
        <v>8</v>
      </c>
      <c r="C327">
        <v>123</v>
      </c>
    </row>
    <row r="328" spans="1:18" x14ac:dyDescent="0.3">
      <c r="A328" s="46">
        <v>43045</v>
      </c>
      <c r="B328" t="s">
        <v>8</v>
      </c>
      <c r="C328">
        <v>80</v>
      </c>
    </row>
    <row r="329" spans="1:18" x14ac:dyDescent="0.3">
      <c r="A329" s="46">
        <v>43044</v>
      </c>
      <c r="B329" t="s">
        <v>7</v>
      </c>
      <c r="C329">
        <v>155</v>
      </c>
    </row>
    <row r="330" spans="1:18" x14ac:dyDescent="0.3">
      <c r="A330" s="46">
        <v>43047</v>
      </c>
      <c r="B330" t="s">
        <v>7</v>
      </c>
      <c r="C330">
        <v>130</v>
      </c>
    </row>
    <row r="331" spans="1:18" x14ac:dyDescent="0.3">
      <c r="A331" s="46">
        <v>43042</v>
      </c>
      <c r="B331" t="s">
        <v>8</v>
      </c>
      <c r="C331">
        <v>87</v>
      </c>
    </row>
    <row r="332" spans="1:18" x14ac:dyDescent="0.3">
      <c r="A332" s="46">
        <v>43042</v>
      </c>
      <c r="B332" t="s">
        <v>13</v>
      </c>
      <c r="C332">
        <v>104</v>
      </c>
    </row>
    <row r="333" spans="1:18" x14ac:dyDescent="0.3">
      <c r="A333" s="46">
        <v>43045</v>
      </c>
      <c r="B333" t="s">
        <v>8</v>
      </c>
      <c r="C333">
        <v>83</v>
      </c>
    </row>
    <row r="334" spans="1:18" x14ac:dyDescent="0.3">
      <c r="A334" s="46">
        <v>43047</v>
      </c>
      <c r="B334" t="s">
        <v>5</v>
      </c>
      <c r="C334">
        <v>139</v>
      </c>
    </row>
    <row r="335" spans="1:18" x14ac:dyDescent="0.3">
      <c r="A335" s="46">
        <v>43041</v>
      </c>
      <c r="B335" t="s">
        <v>13</v>
      </c>
      <c r="C335">
        <v>139</v>
      </c>
    </row>
    <row r="336" spans="1:18" x14ac:dyDescent="0.3">
      <c r="A336" s="46">
        <v>43042</v>
      </c>
      <c r="B336" t="s">
        <v>13</v>
      </c>
      <c r="C336">
        <v>84</v>
      </c>
    </row>
    <row r="337" spans="1:3" x14ac:dyDescent="0.3">
      <c r="A337" s="46">
        <v>43041</v>
      </c>
      <c r="B337" t="s">
        <v>8</v>
      </c>
      <c r="C337">
        <v>128</v>
      </c>
    </row>
    <row r="338" spans="1:3" x14ac:dyDescent="0.3">
      <c r="A338" s="46">
        <v>43045</v>
      </c>
      <c r="B338" t="s">
        <v>5</v>
      </c>
      <c r="C338">
        <v>139</v>
      </c>
    </row>
    <row r="339" spans="1:3" x14ac:dyDescent="0.3">
      <c r="A339" s="46">
        <v>43046</v>
      </c>
      <c r="B339" t="s">
        <v>5</v>
      </c>
      <c r="C339">
        <v>66</v>
      </c>
    </row>
    <row r="340" spans="1:3" x14ac:dyDescent="0.3">
      <c r="A340" s="46">
        <v>43047</v>
      </c>
      <c r="B340" t="s">
        <v>7</v>
      </c>
      <c r="C340">
        <v>84</v>
      </c>
    </row>
    <row r="341" spans="1:3" x14ac:dyDescent="0.3">
      <c r="A341" s="46">
        <v>43045</v>
      </c>
      <c r="B341" t="s">
        <v>7</v>
      </c>
      <c r="C341">
        <v>149</v>
      </c>
    </row>
    <row r="342" spans="1:3" x14ac:dyDescent="0.3">
      <c r="A342" s="46">
        <v>43043</v>
      </c>
      <c r="B342" t="s">
        <v>5</v>
      </c>
      <c r="C342">
        <v>120</v>
      </c>
    </row>
    <row r="343" spans="1:3" x14ac:dyDescent="0.3">
      <c r="A343" s="46">
        <v>43044</v>
      </c>
      <c r="B343" t="s">
        <v>8</v>
      </c>
      <c r="C343">
        <v>135</v>
      </c>
    </row>
    <row r="344" spans="1:3" x14ac:dyDescent="0.3">
      <c r="A344" s="46">
        <v>43043</v>
      </c>
      <c r="B344" t="s">
        <v>8</v>
      </c>
      <c r="C344">
        <v>84</v>
      </c>
    </row>
    <row r="345" spans="1:3" x14ac:dyDescent="0.3">
      <c r="A345" s="46">
        <v>43044</v>
      </c>
      <c r="B345" t="s">
        <v>5</v>
      </c>
      <c r="C345">
        <v>120</v>
      </c>
    </row>
    <row r="346" spans="1:3" x14ac:dyDescent="0.3">
      <c r="A346" s="46">
        <v>43041</v>
      </c>
      <c r="B346" t="s">
        <v>8</v>
      </c>
      <c r="C346">
        <v>29</v>
      </c>
    </row>
    <row r="347" spans="1:3" x14ac:dyDescent="0.3">
      <c r="A347" s="46">
        <v>43040</v>
      </c>
      <c r="B347" t="s">
        <v>5</v>
      </c>
      <c r="C347">
        <v>113</v>
      </c>
    </row>
    <row r="348" spans="1:3" x14ac:dyDescent="0.3">
      <c r="A348" s="46">
        <v>43046</v>
      </c>
      <c r="B348" t="s">
        <v>7</v>
      </c>
      <c r="C348">
        <v>5</v>
      </c>
    </row>
    <row r="349" spans="1:3" x14ac:dyDescent="0.3">
      <c r="A349" s="46">
        <v>43045</v>
      </c>
      <c r="B349" t="s">
        <v>8</v>
      </c>
      <c r="C349">
        <v>10</v>
      </c>
    </row>
    <row r="350" spans="1:3" x14ac:dyDescent="0.3">
      <c r="A350" s="46">
        <v>43041</v>
      </c>
      <c r="B350" t="s">
        <v>8</v>
      </c>
      <c r="C350">
        <v>184</v>
      </c>
    </row>
    <row r="351" spans="1:3" x14ac:dyDescent="0.3">
      <c r="A351" s="46">
        <v>43040</v>
      </c>
      <c r="B351" t="s">
        <v>8</v>
      </c>
      <c r="C351">
        <v>45</v>
      </c>
    </row>
    <row r="352" spans="1:3" x14ac:dyDescent="0.3">
      <c r="A352" s="46">
        <v>43042</v>
      </c>
      <c r="B352" t="s">
        <v>13</v>
      </c>
      <c r="C352">
        <v>39</v>
      </c>
    </row>
    <row r="353" spans="1:3" x14ac:dyDescent="0.3">
      <c r="A353" s="46">
        <v>43040</v>
      </c>
      <c r="B353" t="s">
        <v>5</v>
      </c>
      <c r="C353">
        <v>55</v>
      </c>
    </row>
    <row r="354" spans="1:3" x14ac:dyDescent="0.3">
      <c r="A354" s="46">
        <v>43042</v>
      </c>
      <c r="B354" t="s">
        <v>13</v>
      </c>
      <c r="C354">
        <v>185</v>
      </c>
    </row>
    <row r="355" spans="1:3" x14ac:dyDescent="0.3">
      <c r="A355" s="46">
        <v>43045</v>
      </c>
      <c r="B355" t="s">
        <v>5</v>
      </c>
      <c r="C355">
        <v>22</v>
      </c>
    </row>
    <row r="356" spans="1:3" x14ac:dyDescent="0.3">
      <c r="A356" s="46">
        <v>43040</v>
      </c>
      <c r="B356" t="s">
        <v>7</v>
      </c>
      <c r="C356">
        <v>103</v>
      </c>
    </row>
    <row r="357" spans="1:3" x14ac:dyDescent="0.3">
      <c r="A357" s="46">
        <v>43042</v>
      </c>
      <c r="B357" t="s">
        <v>5</v>
      </c>
      <c r="C357">
        <v>149</v>
      </c>
    </row>
    <row r="358" spans="1:3" x14ac:dyDescent="0.3">
      <c r="A358" s="46">
        <v>43046</v>
      </c>
      <c r="B358" t="s">
        <v>8</v>
      </c>
      <c r="C358">
        <v>70</v>
      </c>
    </row>
    <row r="359" spans="1:3" x14ac:dyDescent="0.3">
      <c r="A359" s="46">
        <v>43040</v>
      </c>
      <c r="B359" t="s">
        <v>13</v>
      </c>
      <c r="C359">
        <v>30</v>
      </c>
    </row>
    <row r="360" spans="1:3" x14ac:dyDescent="0.3">
      <c r="A360" s="46">
        <v>43047</v>
      </c>
      <c r="B360" t="s">
        <v>8</v>
      </c>
      <c r="C360">
        <v>119</v>
      </c>
    </row>
    <row r="361" spans="1:3" x14ac:dyDescent="0.3">
      <c r="A361" s="46">
        <v>43045</v>
      </c>
      <c r="B361" t="s">
        <v>13</v>
      </c>
      <c r="C361">
        <v>136</v>
      </c>
    </row>
    <row r="362" spans="1:3" x14ac:dyDescent="0.3">
      <c r="A362" s="46">
        <v>43044</v>
      </c>
      <c r="B362" t="s">
        <v>13</v>
      </c>
      <c r="C362">
        <v>156</v>
      </c>
    </row>
    <row r="363" spans="1:3" x14ac:dyDescent="0.3">
      <c r="A363" s="46">
        <v>43045</v>
      </c>
      <c r="B363" t="s">
        <v>7</v>
      </c>
      <c r="C363">
        <v>87</v>
      </c>
    </row>
    <row r="364" spans="1:3" x14ac:dyDescent="0.3">
      <c r="A364" s="46">
        <v>43040</v>
      </c>
      <c r="B364" t="s">
        <v>5</v>
      </c>
      <c r="C364">
        <v>174</v>
      </c>
    </row>
    <row r="365" spans="1:3" x14ac:dyDescent="0.3">
      <c r="A365" s="46">
        <v>43040</v>
      </c>
      <c r="B365" t="s">
        <v>7</v>
      </c>
      <c r="C365">
        <v>188</v>
      </c>
    </row>
    <row r="366" spans="1:3" x14ac:dyDescent="0.3">
      <c r="A366" s="46">
        <v>43046</v>
      </c>
      <c r="B366" t="s">
        <v>8</v>
      </c>
      <c r="C366">
        <v>189</v>
      </c>
    </row>
    <row r="367" spans="1:3" x14ac:dyDescent="0.3">
      <c r="A367" s="46">
        <v>43040</v>
      </c>
      <c r="B367" t="s">
        <v>13</v>
      </c>
      <c r="C367">
        <v>154</v>
      </c>
    </row>
    <row r="368" spans="1:3" x14ac:dyDescent="0.3">
      <c r="A368" s="46">
        <v>43040</v>
      </c>
      <c r="B368" t="s">
        <v>8</v>
      </c>
      <c r="C368">
        <v>48</v>
      </c>
    </row>
    <row r="369" spans="1:3" x14ac:dyDescent="0.3">
      <c r="A369" s="46">
        <v>43041</v>
      </c>
      <c r="B369" t="s">
        <v>7</v>
      </c>
      <c r="C369">
        <v>61</v>
      </c>
    </row>
    <row r="370" spans="1:3" x14ac:dyDescent="0.3">
      <c r="A370" s="46">
        <v>43043</v>
      </c>
      <c r="B370" t="s">
        <v>7</v>
      </c>
      <c r="C370">
        <v>73</v>
      </c>
    </row>
    <row r="371" spans="1:3" x14ac:dyDescent="0.3">
      <c r="A371" s="46">
        <v>43045</v>
      </c>
      <c r="B371" t="s">
        <v>5</v>
      </c>
      <c r="C371">
        <v>122</v>
      </c>
    </row>
    <row r="372" spans="1:3" x14ac:dyDescent="0.3">
      <c r="A372" s="46">
        <v>43045</v>
      </c>
      <c r="B372" t="s">
        <v>7</v>
      </c>
      <c r="C372">
        <v>67</v>
      </c>
    </row>
    <row r="373" spans="1:3" x14ac:dyDescent="0.3">
      <c r="A373" s="46">
        <v>43041</v>
      </c>
      <c r="B373" t="s">
        <v>7</v>
      </c>
      <c r="C373">
        <v>190</v>
      </c>
    </row>
    <row r="374" spans="1:3" x14ac:dyDescent="0.3">
      <c r="A374" s="46">
        <v>43047</v>
      </c>
      <c r="B374" t="s">
        <v>8</v>
      </c>
      <c r="C374">
        <v>154</v>
      </c>
    </row>
    <row r="375" spans="1:3" x14ac:dyDescent="0.3">
      <c r="A375" s="46">
        <v>43044</v>
      </c>
      <c r="B375" t="s">
        <v>13</v>
      </c>
      <c r="C375">
        <v>177</v>
      </c>
    </row>
    <row r="376" spans="1:3" x14ac:dyDescent="0.3">
      <c r="A376" s="46">
        <v>43046</v>
      </c>
      <c r="B376" t="s">
        <v>13</v>
      </c>
      <c r="C376">
        <v>48</v>
      </c>
    </row>
    <row r="377" spans="1:3" x14ac:dyDescent="0.3">
      <c r="A377" s="46">
        <v>43043</v>
      </c>
      <c r="B377" t="s">
        <v>7</v>
      </c>
      <c r="C377">
        <v>83</v>
      </c>
    </row>
    <row r="378" spans="1:3" x14ac:dyDescent="0.3">
      <c r="A378" s="46">
        <v>43043</v>
      </c>
      <c r="B378" t="s">
        <v>8</v>
      </c>
      <c r="C378">
        <v>116</v>
      </c>
    </row>
    <row r="379" spans="1:3" x14ac:dyDescent="0.3">
      <c r="A379" s="46">
        <v>43043</v>
      </c>
      <c r="B379" t="s">
        <v>5</v>
      </c>
      <c r="C379">
        <v>20</v>
      </c>
    </row>
    <row r="380" spans="1:3" x14ac:dyDescent="0.3">
      <c r="A380" s="46">
        <v>43042</v>
      </c>
      <c r="B380" t="s">
        <v>5</v>
      </c>
      <c r="C380">
        <v>146</v>
      </c>
    </row>
    <row r="381" spans="1:3" x14ac:dyDescent="0.3">
      <c r="A381" s="46">
        <v>43041</v>
      </c>
      <c r="B381" t="s">
        <v>5</v>
      </c>
      <c r="C381">
        <v>176</v>
      </c>
    </row>
    <row r="382" spans="1:3" x14ac:dyDescent="0.3">
      <c r="A382" s="46">
        <v>43040</v>
      </c>
      <c r="B382" t="s">
        <v>7</v>
      </c>
      <c r="C382">
        <v>40</v>
      </c>
    </row>
    <row r="383" spans="1:3" x14ac:dyDescent="0.3">
      <c r="A383" s="46">
        <v>43043</v>
      </c>
      <c r="B383" t="s">
        <v>8</v>
      </c>
      <c r="C383">
        <v>29</v>
      </c>
    </row>
    <row r="384" spans="1:3" x14ac:dyDescent="0.3">
      <c r="A384" s="46">
        <v>43044</v>
      </c>
      <c r="B384" t="s">
        <v>7</v>
      </c>
      <c r="C384">
        <v>65</v>
      </c>
    </row>
    <row r="385" spans="1:3" x14ac:dyDescent="0.3">
      <c r="A385" s="46">
        <v>43045</v>
      </c>
      <c r="B385" t="s">
        <v>5</v>
      </c>
      <c r="C385">
        <v>21</v>
      </c>
    </row>
    <row r="386" spans="1:3" x14ac:dyDescent="0.3">
      <c r="A386" s="46">
        <v>43043</v>
      </c>
      <c r="B386" t="s">
        <v>5</v>
      </c>
      <c r="C386">
        <v>64</v>
      </c>
    </row>
    <row r="387" spans="1:3" x14ac:dyDescent="0.3">
      <c r="A387" s="46">
        <v>43040</v>
      </c>
      <c r="B387" t="s">
        <v>8</v>
      </c>
      <c r="C387">
        <v>137</v>
      </c>
    </row>
    <row r="388" spans="1:3" x14ac:dyDescent="0.3">
      <c r="A388" s="46">
        <v>43045</v>
      </c>
      <c r="B388" t="s">
        <v>8</v>
      </c>
      <c r="C388">
        <v>46</v>
      </c>
    </row>
    <row r="389" spans="1:3" x14ac:dyDescent="0.3">
      <c r="A389" s="46">
        <v>43046</v>
      </c>
      <c r="B389" t="s">
        <v>5</v>
      </c>
      <c r="C389">
        <v>176</v>
      </c>
    </row>
    <row r="390" spans="1:3" x14ac:dyDescent="0.3">
      <c r="A390" s="46">
        <v>43042</v>
      </c>
      <c r="B390" t="s">
        <v>13</v>
      </c>
      <c r="C390">
        <v>58</v>
      </c>
    </row>
    <row r="391" spans="1:3" x14ac:dyDescent="0.3">
      <c r="A391" s="46">
        <v>43040</v>
      </c>
      <c r="B391" t="s">
        <v>13</v>
      </c>
      <c r="C391">
        <v>42</v>
      </c>
    </row>
    <row r="392" spans="1:3" x14ac:dyDescent="0.3">
      <c r="A392" s="46">
        <v>43043</v>
      </c>
      <c r="B392" t="s">
        <v>13</v>
      </c>
      <c r="C392">
        <v>160</v>
      </c>
    </row>
    <row r="393" spans="1:3" x14ac:dyDescent="0.3">
      <c r="A393" s="46">
        <v>43045</v>
      </c>
      <c r="B393" t="s">
        <v>8</v>
      </c>
      <c r="C393">
        <v>105</v>
      </c>
    </row>
    <row r="394" spans="1:3" x14ac:dyDescent="0.3">
      <c r="A394" s="46">
        <v>43042</v>
      </c>
      <c r="B394" t="s">
        <v>5</v>
      </c>
      <c r="C394">
        <v>139</v>
      </c>
    </row>
    <row r="395" spans="1:3" x14ac:dyDescent="0.3">
      <c r="A395" s="46">
        <v>43042</v>
      </c>
      <c r="B395" t="s">
        <v>8</v>
      </c>
      <c r="C395">
        <v>133</v>
      </c>
    </row>
    <row r="396" spans="1:3" x14ac:dyDescent="0.3">
      <c r="A396" s="46">
        <v>43040</v>
      </c>
      <c r="B396" t="s">
        <v>8</v>
      </c>
      <c r="C396">
        <v>21</v>
      </c>
    </row>
    <row r="397" spans="1:3" x14ac:dyDescent="0.3">
      <c r="A397" s="46">
        <v>43047</v>
      </c>
      <c r="B397" t="s">
        <v>8</v>
      </c>
      <c r="C397">
        <v>58</v>
      </c>
    </row>
    <row r="398" spans="1:3" x14ac:dyDescent="0.3">
      <c r="A398" s="46">
        <v>43045</v>
      </c>
      <c r="B398" t="s">
        <v>13</v>
      </c>
      <c r="C398">
        <v>81</v>
      </c>
    </row>
    <row r="399" spans="1:3" x14ac:dyDescent="0.3">
      <c r="A399" s="46">
        <v>43040</v>
      </c>
      <c r="B399" t="s">
        <v>13</v>
      </c>
      <c r="C399">
        <v>11</v>
      </c>
    </row>
    <row r="400" spans="1:3" x14ac:dyDescent="0.3">
      <c r="A400" s="46">
        <v>43045</v>
      </c>
      <c r="B400" t="s">
        <v>5</v>
      </c>
      <c r="C400">
        <v>132</v>
      </c>
    </row>
    <row r="401" spans="1:3" x14ac:dyDescent="0.3">
      <c r="A401" s="46">
        <v>43043</v>
      </c>
      <c r="B401" t="s">
        <v>13</v>
      </c>
      <c r="C401">
        <v>159</v>
      </c>
    </row>
    <row r="402" spans="1:3" x14ac:dyDescent="0.3">
      <c r="A402" s="46">
        <v>43042</v>
      </c>
      <c r="B402" t="s">
        <v>13</v>
      </c>
      <c r="C402">
        <v>87</v>
      </c>
    </row>
    <row r="403" spans="1:3" x14ac:dyDescent="0.3">
      <c r="A403" s="46">
        <v>43042</v>
      </c>
      <c r="B403" t="s">
        <v>5</v>
      </c>
      <c r="C403">
        <v>79</v>
      </c>
    </row>
    <row r="404" spans="1:3" x14ac:dyDescent="0.3">
      <c r="A404" s="46">
        <v>43047</v>
      </c>
      <c r="B404" t="s">
        <v>7</v>
      </c>
      <c r="C404">
        <v>39</v>
      </c>
    </row>
    <row r="405" spans="1:3" x14ac:dyDescent="0.3">
      <c r="A405" s="46">
        <v>43047</v>
      </c>
      <c r="B405" t="s">
        <v>5</v>
      </c>
      <c r="C405">
        <v>76</v>
      </c>
    </row>
    <row r="406" spans="1:3" x14ac:dyDescent="0.3">
      <c r="A406" s="46">
        <v>43047</v>
      </c>
      <c r="B406" t="s">
        <v>8</v>
      </c>
      <c r="C406">
        <v>147</v>
      </c>
    </row>
    <row r="407" spans="1:3" x14ac:dyDescent="0.3">
      <c r="A407" s="46">
        <v>43043</v>
      </c>
      <c r="B407" t="s">
        <v>5</v>
      </c>
      <c r="C407">
        <v>80</v>
      </c>
    </row>
    <row r="408" spans="1:3" x14ac:dyDescent="0.3">
      <c r="A408" s="46">
        <v>43041</v>
      </c>
      <c r="B408" t="s">
        <v>5</v>
      </c>
      <c r="C408">
        <v>4</v>
      </c>
    </row>
    <row r="409" spans="1:3" x14ac:dyDescent="0.3">
      <c r="A409" s="46">
        <v>43041</v>
      </c>
      <c r="B409" t="s">
        <v>5</v>
      </c>
      <c r="C409">
        <v>33</v>
      </c>
    </row>
    <row r="410" spans="1:3" x14ac:dyDescent="0.3">
      <c r="A410" s="46">
        <v>43040</v>
      </c>
      <c r="B410" t="s">
        <v>7</v>
      </c>
      <c r="C410">
        <v>154</v>
      </c>
    </row>
    <row r="411" spans="1:3" x14ac:dyDescent="0.3">
      <c r="A411" s="46">
        <v>43046</v>
      </c>
      <c r="B411" t="s">
        <v>5</v>
      </c>
      <c r="C411">
        <v>124</v>
      </c>
    </row>
    <row r="412" spans="1:3" x14ac:dyDescent="0.3">
      <c r="A412" s="46">
        <v>43043</v>
      </c>
      <c r="B412" t="s">
        <v>8</v>
      </c>
      <c r="C412">
        <v>48</v>
      </c>
    </row>
    <row r="413" spans="1:3" x14ac:dyDescent="0.3">
      <c r="A413" s="46">
        <v>43043</v>
      </c>
      <c r="B413" t="s">
        <v>5</v>
      </c>
      <c r="C413">
        <v>146</v>
      </c>
    </row>
    <row r="414" spans="1:3" x14ac:dyDescent="0.3">
      <c r="A414" s="46">
        <v>43041</v>
      </c>
      <c r="B414" t="s">
        <v>5</v>
      </c>
      <c r="C414">
        <v>27</v>
      </c>
    </row>
    <row r="415" spans="1:3" x14ac:dyDescent="0.3">
      <c r="A415" s="46">
        <v>43045</v>
      </c>
      <c r="B415" t="s">
        <v>8</v>
      </c>
      <c r="C415">
        <v>128</v>
      </c>
    </row>
    <row r="416" spans="1:3" x14ac:dyDescent="0.3">
      <c r="A416" s="46">
        <v>43043</v>
      </c>
      <c r="B416" t="s">
        <v>13</v>
      </c>
      <c r="C416">
        <v>5</v>
      </c>
    </row>
    <row r="417" spans="1:3" x14ac:dyDescent="0.3">
      <c r="A417" s="46">
        <v>43042</v>
      </c>
      <c r="B417" t="s">
        <v>7</v>
      </c>
      <c r="C417">
        <v>161</v>
      </c>
    </row>
    <row r="418" spans="1:3" x14ac:dyDescent="0.3">
      <c r="A418" s="46">
        <v>43042</v>
      </c>
      <c r="B418" t="s">
        <v>7</v>
      </c>
      <c r="C418">
        <v>121</v>
      </c>
    </row>
    <row r="419" spans="1:3" x14ac:dyDescent="0.3">
      <c r="A419" s="46">
        <v>43043</v>
      </c>
      <c r="B419" t="s">
        <v>5</v>
      </c>
      <c r="C419">
        <v>100</v>
      </c>
    </row>
    <row r="420" spans="1:3" x14ac:dyDescent="0.3">
      <c r="A420" s="46">
        <v>43044</v>
      </c>
      <c r="B420" t="s">
        <v>5</v>
      </c>
      <c r="C420">
        <v>149</v>
      </c>
    </row>
    <row r="421" spans="1:3" x14ac:dyDescent="0.3">
      <c r="A421" s="46">
        <v>43045</v>
      </c>
      <c r="B421" t="s">
        <v>8</v>
      </c>
      <c r="C421">
        <v>42</v>
      </c>
    </row>
    <row r="422" spans="1:3" x14ac:dyDescent="0.3">
      <c r="A422" s="46">
        <v>43040</v>
      </c>
      <c r="B422" t="s">
        <v>8</v>
      </c>
      <c r="C422">
        <v>28</v>
      </c>
    </row>
    <row r="423" spans="1:3" x14ac:dyDescent="0.3">
      <c r="A423" s="46">
        <v>43044</v>
      </c>
      <c r="B423" t="s">
        <v>8</v>
      </c>
      <c r="C423">
        <v>114</v>
      </c>
    </row>
    <row r="424" spans="1:3" x14ac:dyDescent="0.3">
      <c r="A424" s="46">
        <v>43040</v>
      </c>
      <c r="B424" t="s">
        <v>13</v>
      </c>
      <c r="C424">
        <v>14</v>
      </c>
    </row>
    <row r="425" spans="1:3" x14ac:dyDescent="0.3">
      <c r="A425" s="46">
        <v>43045</v>
      </c>
      <c r="B425" t="s">
        <v>13</v>
      </c>
      <c r="C425">
        <v>160</v>
      </c>
    </row>
    <row r="426" spans="1:3" x14ac:dyDescent="0.3">
      <c r="A426" s="46">
        <v>43042</v>
      </c>
      <c r="B426" t="s">
        <v>5</v>
      </c>
      <c r="C426">
        <v>14</v>
      </c>
    </row>
    <row r="427" spans="1:3" x14ac:dyDescent="0.3">
      <c r="A427" s="46">
        <v>43040</v>
      </c>
      <c r="B427" t="s">
        <v>13</v>
      </c>
      <c r="C427">
        <v>12</v>
      </c>
    </row>
    <row r="428" spans="1:3" x14ac:dyDescent="0.3">
      <c r="A428" s="46">
        <v>43043</v>
      </c>
      <c r="B428" t="s">
        <v>8</v>
      </c>
      <c r="C428">
        <v>20</v>
      </c>
    </row>
    <row r="429" spans="1:3" x14ac:dyDescent="0.3">
      <c r="A429" s="46">
        <v>43040</v>
      </c>
      <c r="B429" t="s">
        <v>8</v>
      </c>
      <c r="C429">
        <v>76</v>
      </c>
    </row>
    <row r="430" spans="1:3" x14ac:dyDescent="0.3">
      <c r="A430" s="46">
        <v>43047</v>
      </c>
      <c r="B430" t="s">
        <v>13</v>
      </c>
      <c r="C430">
        <v>112</v>
      </c>
    </row>
    <row r="431" spans="1:3" x14ac:dyDescent="0.3">
      <c r="A431" s="46">
        <v>43041</v>
      </c>
      <c r="B431" t="s">
        <v>5</v>
      </c>
      <c r="C431">
        <v>113</v>
      </c>
    </row>
    <row r="432" spans="1:3" x14ac:dyDescent="0.3">
      <c r="A432" s="46">
        <v>43040</v>
      </c>
      <c r="B432" t="s">
        <v>5</v>
      </c>
      <c r="C432">
        <v>76</v>
      </c>
    </row>
    <row r="433" spans="1:3" x14ac:dyDescent="0.3">
      <c r="A433" s="46">
        <v>43047</v>
      </c>
      <c r="B433" t="s">
        <v>7</v>
      </c>
      <c r="C433">
        <v>163</v>
      </c>
    </row>
    <row r="434" spans="1:3" x14ac:dyDescent="0.3">
      <c r="A434" s="46">
        <v>43041</v>
      </c>
      <c r="B434" t="s">
        <v>7</v>
      </c>
      <c r="C434">
        <v>76</v>
      </c>
    </row>
    <row r="435" spans="1:3" x14ac:dyDescent="0.3">
      <c r="A435" s="46">
        <v>43047</v>
      </c>
      <c r="B435" t="s">
        <v>7</v>
      </c>
      <c r="C435">
        <v>177</v>
      </c>
    </row>
    <row r="436" spans="1:3" x14ac:dyDescent="0.3">
      <c r="A436" s="46">
        <v>43040</v>
      </c>
      <c r="B436" t="s">
        <v>8</v>
      </c>
      <c r="C436">
        <v>41</v>
      </c>
    </row>
    <row r="437" spans="1:3" x14ac:dyDescent="0.3">
      <c r="A437" s="46">
        <v>43045</v>
      </c>
      <c r="B437" t="s">
        <v>5</v>
      </c>
      <c r="C437">
        <v>42</v>
      </c>
    </row>
    <row r="438" spans="1:3" x14ac:dyDescent="0.3">
      <c r="A438" s="46">
        <v>43047</v>
      </c>
      <c r="B438" t="s">
        <v>7</v>
      </c>
      <c r="C438">
        <v>152</v>
      </c>
    </row>
    <row r="439" spans="1:3" x14ac:dyDescent="0.3">
      <c r="A439" s="46">
        <v>43043</v>
      </c>
      <c r="B439" t="s">
        <v>8</v>
      </c>
      <c r="C439">
        <v>90</v>
      </c>
    </row>
    <row r="440" spans="1:3" x14ac:dyDescent="0.3">
      <c r="A440" s="46">
        <v>43047</v>
      </c>
      <c r="B440" t="s">
        <v>13</v>
      </c>
      <c r="C440">
        <v>103</v>
      </c>
    </row>
    <row r="441" spans="1:3" x14ac:dyDescent="0.3">
      <c r="A441" s="46">
        <v>43044</v>
      </c>
      <c r="B441" t="s">
        <v>7</v>
      </c>
      <c r="C441">
        <v>18</v>
      </c>
    </row>
    <row r="442" spans="1:3" x14ac:dyDescent="0.3">
      <c r="A442" s="46">
        <v>43040</v>
      </c>
      <c r="B442" t="s">
        <v>5</v>
      </c>
      <c r="C442">
        <v>185</v>
      </c>
    </row>
    <row r="443" spans="1:3" x14ac:dyDescent="0.3">
      <c r="A443" s="46">
        <v>43040</v>
      </c>
      <c r="B443" t="s">
        <v>13</v>
      </c>
      <c r="C443">
        <v>29</v>
      </c>
    </row>
    <row r="444" spans="1:3" x14ac:dyDescent="0.3">
      <c r="A444" s="46">
        <v>43046</v>
      </c>
      <c r="B444" t="s">
        <v>5</v>
      </c>
      <c r="C444">
        <v>140</v>
      </c>
    </row>
    <row r="445" spans="1:3" x14ac:dyDescent="0.3">
      <c r="A445" s="46">
        <v>43040</v>
      </c>
      <c r="B445" t="s">
        <v>7</v>
      </c>
      <c r="C445">
        <v>177</v>
      </c>
    </row>
    <row r="446" spans="1:3" x14ac:dyDescent="0.3">
      <c r="A446" s="46">
        <v>43043</v>
      </c>
      <c r="B446" t="s">
        <v>13</v>
      </c>
      <c r="C446">
        <v>74</v>
      </c>
    </row>
    <row r="447" spans="1:3" x14ac:dyDescent="0.3">
      <c r="A447" s="46">
        <v>43040</v>
      </c>
      <c r="B447" t="s">
        <v>5</v>
      </c>
      <c r="C447">
        <v>111</v>
      </c>
    </row>
    <row r="448" spans="1:3" x14ac:dyDescent="0.3">
      <c r="A448" s="46">
        <v>43047</v>
      </c>
      <c r="B448" t="s">
        <v>5</v>
      </c>
      <c r="C448">
        <v>11</v>
      </c>
    </row>
    <row r="449" spans="1:3" x14ac:dyDescent="0.3">
      <c r="A449" s="46">
        <v>43040</v>
      </c>
      <c r="B449" t="s">
        <v>13</v>
      </c>
      <c r="C449">
        <v>28</v>
      </c>
    </row>
    <row r="450" spans="1:3" x14ac:dyDescent="0.3">
      <c r="A450" s="46">
        <v>43040</v>
      </c>
      <c r="B450" t="s">
        <v>7</v>
      </c>
      <c r="C450">
        <v>80</v>
      </c>
    </row>
    <row r="451" spans="1:3" x14ac:dyDescent="0.3">
      <c r="A451" s="46">
        <v>43040</v>
      </c>
      <c r="B451" t="s">
        <v>5</v>
      </c>
      <c r="C451">
        <v>18</v>
      </c>
    </row>
    <row r="452" spans="1:3" x14ac:dyDescent="0.3">
      <c r="A452" s="46">
        <v>43046</v>
      </c>
      <c r="B452" t="s">
        <v>7</v>
      </c>
      <c r="C452">
        <v>28</v>
      </c>
    </row>
    <row r="453" spans="1:3" x14ac:dyDescent="0.3">
      <c r="A453" s="46">
        <v>43043</v>
      </c>
      <c r="B453" t="s">
        <v>8</v>
      </c>
      <c r="C453">
        <v>117</v>
      </c>
    </row>
    <row r="454" spans="1:3" x14ac:dyDescent="0.3">
      <c r="A454" s="46">
        <v>43046</v>
      </c>
      <c r="B454" t="s">
        <v>5</v>
      </c>
      <c r="C454">
        <v>145</v>
      </c>
    </row>
    <row r="455" spans="1:3" x14ac:dyDescent="0.3">
      <c r="A455" s="46">
        <v>43040</v>
      </c>
      <c r="B455" t="s">
        <v>5</v>
      </c>
      <c r="C455">
        <v>79</v>
      </c>
    </row>
    <row r="456" spans="1:3" x14ac:dyDescent="0.3">
      <c r="A456" s="46">
        <v>43040</v>
      </c>
      <c r="B456" t="s">
        <v>5</v>
      </c>
      <c r="C456">
        <v>99</v>
      </c>
    </row>
    <row r="457" spans="1:3" x14ac:dyDescent="0.3">
      <c r="A457" s="46">
        <v>43044</v>
      </c>
      <c r="B457" t="s">
        <v>8</v>
      </c>
      <c r="C457">
        <v>22</v>
      </c>
    </row>
    <row r="458" spans="1:3" x14ac:dyDescent="0.3">
      <c r="A458" s="46">
        <v>43047</v>
      </c>
      <c r="B458" t="s">
        <v>8</v>
      </c>
      <c r="C458">
        <v>63</v>
      </c>
    </row>
    <row r="459" spans="1:3" x14ac:dyDescent="0.3">
      <c r="A459" s="46">
        <v>43040</v>
      </c>
      <c r="B459" t="s">
        <v>13</v>
      </c>
      <c r="C459">
        <v>123</v>
      </c>
    </row>
    <row r="460" spans="1:3" x14ac:dyDescent="0.3">
      <c r="A460" s="46">
        <v>43046</v>
      </c>
      <c r="B460" t="s">
        <v>13</v>
      </c>
      <c r="C460">
        <v>48</v>
      </c>
    </row>
    <row r="461" spans="1:3" x14ac:dyDescent="0.3">
      <c r="A461" s="46">
        <v>43040</v>
      </c>
      <c r="B461" t="s">
        <v>5</v>
      </c>
      <c r="C461">
        <v>147</v>
      </c>
    </row>
    <row r="462" spans="1:3" x14ac:dyDescent="0.3">
      <c r="A462" s="46">
        <v>43045</v>
      </c>
      <c r="B462" t="s">
        <v>7</v>
      </c>
      <c r="C462">
        <v>136</v>
      </c>
    </row>
    <row r="463" spans="1:3" x14ac:dyDescent="0.3">
      <c r="A463" s="46">
        <v>43040</v>
      </c>
      <c r="B463" t="s">
        <v>13</v>
      </c>
      <c r="C463">
        <v>179</v>
      </c>
    </row>
    <row r="464" spans="1:3" x14ac:dyDescent="0.3">
      <c r="A464" s="46">
        <v>43040</v>
      </c>
      <c r="B464" t="s">
        <v>5</v>
      </c>
      <c r="C464">
        <v>85</v>
      </c>
    </row>
    <row r="465" spans="1:3" x14ac:dyDescent="0.3">
      <c r="A465" s="46">
        <v>43044</v>
      </c>
      <c r="B465" t="s">
        <v>7</v>
      </c>
      <c r="C465">
        <v>46</v>
      </c>
    </row>
    <row r="466" spans="1:3" x14ac:dyDescent="0.3">
      <c r="A466" s="46">
        <v>43041</v>
      </c>
      <c r="B466" t="s">
        <v>7</v>
      </c>
      <c r="C466">
        <v>85</v>
      </c>
    </row>
    <row r="467" spans="1:3" x14ac:dyDescent="0.3">
      <c r="A467" s="46">
        <v>43047</v>
      </c>
      <c r="B467" t="s">
        <v>7</v>
      </c>
      <c r="C467">
        <v>97</v>
      </c>
    </row>
    <row r="468" spans="1:3" x14ac:dyDescent="0.3">
      <c r="A468" s="46">
        <v>43047</v>
      </c>
      <c r="B468" t="s">
        <v>5</v>
      </c>
      <c r="C468">
        <v>60</v>
      </c>
    </row>
    <row r="469" spans="1:3" x14ac:dyDescent="0.3">
      <c r="A469" s="46">
        <v>43041</v>
      </c>
      <c r="B469" t="s">
        <v>13</v>
      </c>
      <c r="C469">
        <v>63</v>
      </c>
    </row>
    <row r="470" spans="1:3" x14ac:dyDescent="0.3">
      <c r="A470" s="46">
        <v>43042</v>
      </c>
      <c r="B470" t="s">
        <v>13</v>
      </c>
      <c r="C470">
        <v>74</v>
      </c>
    </row>
    <row r="471" spans="1:3" x14ac:dyDescent="0.3">
      <c r="A471" s="46">
        <v>43045</v>
      </c>
      <c r="B471" t="s">
        <v>5</v>
      </c>
      <c r="C471">
        <v>171</v>
      </c>
    </row>
    <row r="472" spans="1:3" x14ac:dyDescent="0.3">
      <c r="A472" s="46">
        <v>43040</v>
      </c>
      <c r="B472" t="s">
        <v>5</v>
      </c>
      <c r="C472">
        <v>73</v>
      </c>
    </row>
    <row r="473" spans="1:3" x14ac:dyDescent="0.3">
      <c r="A473" s="46">
        <v>43046</v>
      </c>
      <c r="B473" t="s">
        <v>13</v>
      </c>
      <c r="C473">
        <v>85</v>
      </c>
    </row>
    <row r="474" spans="1:3" x14ac:dyDescent="0.3">
      <c r="A474" s="46">
        <v>43047</v>
      </c>
      <c r="B474" t="s">
        <v>13</v>
      </c>
      <c r="C474">
        <v>35</v>
      </c>
    </row>
    <row r="475" spans="1:3" x14ac:dyDescent="0.3">
      <c r="A475" s="46">
        <v>43045</v>
      </c>
      <c r="B475" t="s">
        <v>8</v>
      </c>
      <c r="C475">
        <v>89</v>
      </c>
    </row>
    <row r="476" spans="1:3" x14ac:dyDescent="0.3">
      <c r="A476" s="46">
        <v>43040</v>
      </c>
      <c r="B476" t="s">
        <v>8</v>
      </c>
      <c r="C476">
        <v>95</v>
      </c>
    </row>
    <row r="477" spans="1:3" x14ac:dyDescent="0.3">
      <c r="A477" s="46">
        <v>43047</v>
      </c>
      <c r="B477" t="s">
        <v>7</v>
      </c>
      <c r="C477">
        <v>125</v>
      </c>
    </row>
    <row r="478" spans="1:3" x14ac:dyDescent="0.3">
      <c r="A478" s="46">
        <v>43046</v>
      </c>
      <c r="B478" t="s">
        <v>5</v>
      </c>
      <c r="C478">
        <v>78</v>
      </c>
    </row>
    <row r="479" spans="1:3" x14ac:dyDescent="0.3">
      <c r="A479" s="46">
        <v>43046</v>
      </c>
      <c r="B479" t="s">
        <v>5</v>
      </c>
      <c r="C479">
        <v>187</v>
      </c>
    </row>
    <row r="480" spans="1:3" x14ac:dyDescent="0.3">
      <c r="A480" s="46">
        <v>43044</v>
      </c>
      <c r="B480" t="s">
        <v>7</v>
      </c>
      <c r="C480">
        <v>33</v>
      </c>
    </row>
    <row r="481" spans="1:3" x14ac:dyDescent="0.3">
      <c r="A481" s="46">
        <v>43042</v>
      </c>
      <c r="B481" t="s">
        <v>7</v>
      </c>
      <c r="C481">
        <v>104</v>
      </c>
    </row>
    <row r="482" spans="1:3" x14ac:dyDescent="0.3">
      <c r="A482" s="46">
        <v>43042</v>
      </c>
      <c r="B482" t="s">
        <v>7</v>
      </c>
      <c r="C482">
        <v>25</v>
      </c>
    </row>
    <row r="483" spans="1:3" x14ac:dyDescent="0.3">
      <c r="A483" s="46">
        <v>43044</v>
      </c>
      <c r="B483" t="s">
        <v>5</v>
      </c>
      <c r="C483">
        <v>166</v>
      </c>
    </row>
    <row r="484" spans="1:3" x14ac:dyDescent="0.3">
      <c r="A484" s="46">
        <v>43041</v>
      </c>
      <c r="B484" t="s">
        <v>7</v>
      </c>
      <c r="C484">
        <v>58</v>
      </c>
    </row>
    <row r="485" spans="1:3" x14ac:dyDescent="0.3">
      <c r="A485" s="46">
        <v>43043</v>
      </c>
      <c r="B485" t="s">
        <v>5</v>
      </c>
      <c r="C485">
        <v>94</v>
      </c>
    </row>
    <row r="486" spans="1:3" x14ac:dyDescent="0.3">
      <c r="A486" s="46">
        <v>43044</v>
      </c>
      <c r="B486" t="s">
        <v>7</v>
      </c>
      <c r="C486">
        <v>49</v>
      </c>
    </row>
    <row r="487" spans="1:3" x14ac:dyDescent="0.3">
      <c r="A487" s="46">
        <v>43041</v>
      </c>
      <c r="B487" t="s">
        <v>7</v>
      </c>
      <c r="C487">
        <v>92</v>
      </c>
    </row>
    <row r="488" spans="1:3" x14ac:dyDescent="0.3">
      <c r="A488" s="46">
        <v>43045</v>
      </c>
      <c r="B488" t="s">
        <v>5</v>
      </c>
      <c r="C488">
        <v>71</v>
      </c>
    </row>
    <row r="489" spans="1:3" x14ac:dyDescent="0.3">
      <c r="A489" s="46">
        <v>43041</v>
      </c>
      <c r="B489" t="s">
        <v>13</v>
      </c>
      <c r="C489">
        <v>27</v>
      </c>
    </row>
    <row r="490" spans="1:3" x14ac:dyDescent="0.3">
      <c r="A490" s="46">
        <v>43046</v>
      </c>
      <c r="B490" t="s">
        <v>5</v>
      </c>
      <c r="C490">
        <v>5</v>
      </c>
    </row>
    <row r="491" spans="1:3" x14ac:dyDescent="0.3">
      <c r="A491" s="46">
        <v>43043</v>
      </c>
      <c r="B491" t="s">
        <v>7</v>
      </c>
      <c r="C491">
        <v>190</v>
      </c>
    </row>
    <row r="492" spans="1:3" x14ac:dyDescent="0.3">
      <c r="A492" s="46">
        <v>43043</v>
      </c>
      <c r="B492" t="s">
        <v>5</v>
      </c>
      <c r="C492">
        <v>146</v>
      </c>
    </row>
    <row r="493" spans="1:3" x14ac:dyDescent="0.3">
      <c r="A493" s="46">
        <v>43046</v>
      </c>
      <c r="B493" t="s">
        <v>8</v>
      </c>
      <c r="C493">
        <v>183</v>
      </c>
    </row>
    <row r="494" spans="1:3" x14ac:dyDescent="0.3">
      <c r="A494" s="46">
        <v>43043</v>
      </c>
      <c r="B494" t="s">
        <v>5</v>
      </c>
      <c r="C494">
        <v>163</v>
      </c>
    </row>
    <row r="495" spans="1:3" x14ac:dyDescent="0.3">
      <c r="A495" s="46">
        <v>43046</v>
      </c>
      <c r="B495" t="s">
        <v>8</v>
      </c>
      <c r="C495">
        <v>138</v>
      </c>
    </row>
    <row r="496" spans="1:3" x14ac:dyDescent="0.3">
      <c r="A496" s="46">
        <v>43045</v>
      </c>
      <c r="B496" t="s">
        <v>8</v>
      </c>
      <c r="C496">
        <v>151</v>
      </c>
    </row>
    <row r="497" spans="1:3" x14ac:dyDescent="0.3">
      <c r="A497" s="46">
        <v>43040</v>
      </c>
      <c r="B497" t="s">
        <v>13</v>
      </c>
      <c r="C497">
        <v>110</v>
      </c>
    </row>
    <row r="498" spans="1:3" x14ac:dyDescent="0.3">
      <c r="A498" s="46">
        <v>43046</v>
      </c>
      <c r="B498" t="s">
        <v>7</v>
      </c>
      <c r="C498">
        <v>95</v>
      </c>
    </row>
    <row r="499" spans="1:3" x14ac:dyDescent="0.3">
      <c r="A499" s="46">
        <v>43042</v>
      </c>
      <c r="B499" t="s">
        <v>8</v>
      </c>
      <c r="C499">
        <v>89</v>
      </c>
    </row>
    <row r="500" spans="1:3" x14ac:dyDescent="0.3">
      <c r="A500" s="46">
        <v>43040</v>
      </c>
      <c r="B500" t="s">
        <v>5</v>
      </c>
      <c r="C500">
        <v>181</v>
      </c>
    </row>
    <row r="501" spans="1:3" x14ac:dyDescent="0.3">
      <c r="A501" s="46">
        <v>43047</v>
      </c>
      <c r="B501" t="s">
        <v>7</v>
      </c>
      <c r="C501">
        <v>106</v>
      </c>
    </row>
    <row r="502" spans="1:3" x14ac:dyDescent="0.3">
      <c r="A502" s="46">
        <v>43042</v>
      </c>
      <c r="B502" t="s">
        <v>8</v>
      </c>
      <c r="C502">
        <v>97</v>
      </c>
    </row>
    <row r="503" spans="1:3" x14ac:dyDescent="0.3">
      <c r="A503" s="46">
        <v>43041</v>
      </c>
      <c r="B503" t="s">
        <v>5</v>
      </c>
      <c r="C503">
        <v>62</v>
      </c>
    </row>
    <row r="504" spans="1:3" x14ac:dyDescent="0.3">
      <c r="A504" s="46">
        <v>43047</v>
      </c>
      <c r="B504" t="s">
        <v>7</v>
      </c>
      <c r="C504">
        <v>124</v>
      </c>
    </row>
    <row r="505" spans="1:3" x14ac:dyDescent="0.3">
      <c r="A505" s="46">
        <v>43045</v>
      </c>
      <c r="B505" t="s">
        <v>8</v>
      </c>
      <c r="C505">
        <v>134</v>
      </c>
    </row>
    <row r="506" spans="1:3" x14ac:dyDescent="0.3">
      <c r="A506" s="46">
        <v>43046</v>
      </c>
      <c r="B506" t="s">
        <v>5</v>
      </c>
      <c r="C506">
        <v>175</v>
      </c>
    </row>
    <row r="507" spans="1:3" x14ac:dyDescent="0.3">
      <c r="A507" s="46">
        <v>43045</v>
      </c>
      <c r="B507" t="s">
        <v>8</v>
      </c>
      <c r="C507">
        <v>112</v>
      </c>
    </row>
    <row r="508" spans="1:3" x14ac:dyDescent="0.3">
      <c r="A508" s="46">
        <v>43042</v>
      </c>
      <c r="B508" t="s">
        <v>5</v>
      </c>
      <c r="C508">
        <v>15</v>
      </c>
    </row>
    <row r="509" spans="1:3" x14ac:dyDescent="0.3">
      <c r="A509" s="46">
        <v>43046</v>
      </c>
      <c r="B509" t="s">
        <v>8</v>
      </c>
      <c r="C509">
        <v>54</v>
      </c>
    </row>
    <row r="510" spans="1:3" x14ac:dyDescent="0.3">
      <c r="A510" s="46">
        <v>43043</v>
      </c>
      <c r="B510" t="s">
        <v>8</v>
      </c>
      <c r="C510">
        <v>138</v>
      </c>
    </row>
    <row r="511" spans="1:3" x14ac:dyDescent="0.3">
      <c r="A511" s="46">
        <v>43044</v>
      </c>
      <c r="B511" t="s">
        <v>8</v>
      </c>
      <c r="C511">
        <v>87</v>
      </c>
    </row>
    <row r="512" spans="1:3" x14ac:dyDescent="0.3">
      <c r="A512" s="46">
        <v>43045</v>
      </c>
      <c r="B512" t="s">
        <v>13</v>
      </c>
      <c r="C512">
        <v>13</v>
      </c>
    </row>
    <row r="513" spans="1:3" x14ac:dyDescent="0.3">
      <c r="A513" s="46">
        <v>43047</v>
      </c>
      <c r="B513" t="s">
        <v>5</v>
      </c>
      <c r="C513">
        <v>79</v>
      </c>
    </row>
    <row r="514" spans="1:3" x14ac:dyDescent="0.3">
      <c r="A514" s="46">
        <v>43047</v>
      </c>
      <c r="B514" t="s">
        <v>13</v>
      </c>
      <c r="C514">
        <v>60</v>
      </c>
    </row>
    <row r="515" spans="1:3" x14ac:dyDescent="0.3">
      <c r="A515" s="46">
        <v>43042</v>
      </c>
      <c r="B515" t="s">
        <v>13</v>
      </c>
      <c r="C515">
        <v>65</v>
      </c>
    </row>
    <row r="516" spans="1:3" x14ac:dyDescent="0.3">
      <c r="A516" s="46">
        <v>43042</v>
      </c>
      <c r="B516" t="s">
        <v>7</v>
      </c>
      <c r="C516">
        <v>85</v>
      </c>
    </row>
    <row r="517" spans="1:3" x14ac:dyDescent="0.3">
      <c r="A517" s="46">
        <v>43044</v>
      </c>
      <c r="B517" t="s">
        <v>13</v>
      </c>
      <c r="C517">
        <v>41</v>
      </c>
    </row>
    <row r="518" spans="1:3" x14ac:dyDescent="0.3">
      <c r="A518" s="46">
        <v>43044</v>
      </c>
      <c r="B518" t="s">
        <v>7</v>
      </c>
      <c r="C518">
        <v>7</v>
      </c>
    </row>
    <row r="519" spans="1:3" x14ac:dyDescent="0.3">
      <c r="A519" s="46">
        <v>43043</v>
      </c>
      <c r="B519" t="s">
        <v>13</v>
      </c>
      <c r="C519">
        <v>14</v>
      </c>
    </row>
    <row r="520" spans="1:3" x14ac:dyDescent="0.3">
      <c r="A520" s="46">
        <v>43042</v>
      </c>
      <c r="B520" t="s">
        <v>5</v>
      </c>
      <c r="C520">
        <v>156</v>
      </c>
    </row>
    <row r="521" spans="1:3" x14ac:dyDescent="0.3">
      <c r="A521" s="46">
        <v>43040</v>
      </c>
      <c r="B521" t="s">
        <v>13</v>
      </c>
      <c r="C521">
        <v>98</v>
      </c>
    </row>
    <row r="522" spans="1:3" x14ac:dyDescent="0.3">
      <c r="A522" s="46">
        <v>43047</v>
      </c>
      <c r="B522" t="s">
        <v>7</v>
      </c>
      <c r="C522">
        <v>4</v>
      </c>
    </row>
    <row r="523" spans="1:3" x14ac:dyDescent="0.3">
      <c r="A523" s="46">
        <v>43044</v>
      </c>
      <c r="B523" t="s">
        <v>8</v>
      </c>
      <c r="C523">
        <v>52</v>
      </c>
    </row>
    <row r="524" spans="1:3" x14ac:dyDescent="0.3">
      <c r="A524" s="46">
        <v>43042</v>
      </c>
      <c r="B524" t="s">
        <v>13</v>
      </c>
      <c r="C524">
        <v>35</v>
      </c>
    </row>
    <row r="525" spans="1:3" x14ac:dyDescent="0.3">
      <c r="A525" s="46">
        <v>43046</v>
      </c>
      <c r="B525" t="s">
        <v>8</v>
      </c>
      <c r="C525">
        <v>101</v>
      </c>
    </row>
    <row r="526" spans="1:3" x14ac:dyDescent="0.3">
      <c r="A526" s="46">
        <v>43041</v>
      </c>
      <c r="B526" t="s">
        <v>13</v>
      </c>
      <c r="C526">
        <v>177</v>
      </c>
    </row>
    <row r="527" spans="1:3" x14ac:dyDescent="0.3">
      <c r="A527" s="46">
        <v>43043</v>
      </c>
      <c r="B527" t="s">
        <v>13</v>
      </c>
      <c r="C527">
        <v>158</v>
      </c>
    </row>
    <row r="528" spans="1:3" x14ac:dyDescent="0.3">
      <c r="A528" s="46">
        <v>43045</v>
      </c>
      <c r="B528" t="s">
        <v>8</v>
      </c>
      <c r="C528">
        <v>183</v>
      </c>
    </row>
    <row r="529" spans="1:3" x14ac:dyDescent="0.3">
      <c r="A529" s="46">
        <v>43041</v>
      </c>
      <c r="B529" t="s">
        <v>13</v>
      </c>
      <c r="C529">
        <v>185</v>
      </c>
    </row>
    <row r="530" spans="1:3" x14ac:dyDescent="0.3">
      <c r="A530" s="46">
        <v>43046</v>
      </c>
      <c r="B530" t="s">
        <v>7</v>
      </c>
      <c r="C530">
        <v>87</v>
      </c>
    </row>
    <row r="531" spans="1:3" x14ac:dyDescent="0.3">
      <c r="A531" s="46">
        <v>43046</v>
      </c>
      <c r="B531" t="s">
        <v>13</v>
      </c>
      <c r="C531">
        <v>148</v>
      </c>
    </row>
    <row r="532" spans="1:3" x14ac:dyDescent="0.3">
      <c r="A532" s="46">
        <v>43047</v>
      </c>
      <c r="B532" t="s">
        <v>8</v>
      </c>
      <c r="C532">
        <v>141</v>
      </c>
    </row>
    <row r="533" spans="1:3" x14ac:dyDescent="0.3">
      <c r="A533" s="46">
        <v>43046</v>
      </c>
      <c r="B533" t="s">
        <v>13</v>
      </c>
      <c r="C533">
        <v>159</v>
      </c>
    </row>
    <row r="534" spans="1:3" x14ac:dyDescent="0.3">
      <c r="A534" s="46">
        <v>43040</v>
      </c>
      <c r="B534" t="s">
        <v>5</v>
      </c>
      <c r="C534">
        <v>97</v>
      </c>
    </row>
    <row r="535" spans="1:3" x14ac:dyDescent="0.3">
      <c r="A535" s="46">
        <v>43043</v>
      </c>
      <c r="B535" t="s">
        <v>13</v>
      </c>
      <c r="C535">
        <v>164</v>
      </c>
    </row>
    <row r="536" spans="1:3" x14ac:dyDescent="0.3">
      <c r="A536" s="46">
        <v>43042</v>
      </c>
      <c r="B536" t="s">
        <v>8</v>
      </c>
      <c r="C536">
        <v>174</v>
      </c>
    </row>
    <row r="537" spans="1:3" x14ac:dyDescent="0.3">
      <c r="A537" s="46">
        <v>43046</v>
      </c>
      <c r="B537" t="s">
        <v>13</v>
      </c>
      <c r="C537">
        <v>92</v>
      </c>
    </row>
    <row r="538" spans="1:3" x14ac:dyDescent="0.3">
      <c r="A538" s="46">
        <v>43044</v>
      </c>
      <c r="B538" t="s">
        <v>7</v>
      </c>
      <c r="C538">
        <v>132</v>
      </c>
    </row>
    <row r="539" spans="1:3" x14ac:dyDescent="0.3">
      <c r="A539" s="46">
        <v>43044</v>
      </c>
      <c r="B539" t="s">
        <v>7</v>
      </c>
      <c r="C539">
        <v>140</v>
      </c>
    </row>
    <row r="540" spans="1:3" x14ac:dyDescent="0.3">
      <c r="A540" s="46">
        <v>43045</v>
      </c>
      <c r="B540" t="s">
        <v>7</v>
      </c>
      <c r="C540">
        <v>165</v>
      </c>
    </row>
    <row r="541" spans="1:3" x14ac:dyDescent="0.3">
      <c r="A541" s="46">
        <v>43044</v>
      </c>
      <c r="B541" t="s">
        <v>13</v>
      </c>
      <c r="C541">
        <v>89</v>
      </c>
    </row>
    <row r="542" spans="1:3" x14ac:dyDescent="0.3">
      <c r="A542" s="46">
        <v>43041</v>
      </c>
      <c r="B542" t="s">
        <v>5</v>
      </c>
      <c r="C542">
        <v>95</v>
      </c>
    </row>
    <row r="543" spans="1:3" x14ac:dyDescent="0.3">
      <c r="A543" s="46">
        <v>43045</v>
      </c>
      <c r="B543" t="s">
        <v>13</v>
      </c>
      <c r="C543">
        <v>142</v>
      </c>
    </row>
    <row r="544" spans="1:3" x14ac:dyDescent="0.3">
      <c r="A544" s="46">
        <v>43045</v>
      </c>
      <c r="B544" t="s">
        <v>8</v>
      </c>
      <c r="C544">
        <v>60</v>
      </c>
    </row>
    <row r="545" spans="1:3" x14ac:dyDescent="0.3">
      <c r="A545" s="46">
        <v>43042</v>
      </c>
      <c r="B545" t="s">
        <v>8</v>
      </c>
      <c r="C545">
        <v>60</v>
      </c>
    </row>
    <row r="546" spans="1:3" x14ac:dyDescent="0.3">
      <c r="A546" s="46">
        <v>43042</v>
      </c>
      <c r="B546" t="s">
        <v>13</v>
      </c>
      <c r="C546">
        <v>108</v>
      </c>
    </row>
    <row r="547" spans="1:3" x14ac:dyDescent="0.3">
      <c r="A547" s="46">
        <v>43041</v>
      </c>
      <c r="B547" t="s">
        <v>7</v>
      </c>
      <c r="C547">
        <v>61</v>
      </c>
    </row>
    <row r="548" spans="1:3" x14ac:dyDescent="0.3">
      <c r="A548" s="46">
        <v>43043</v>
      </c>
      <c r="B548" t="s">
        <v>5</v>
      </c>
      <c r="C548">
        <v>132</v>
      </c>
    </row>
    <row r="549" spans="1:3" x14ac:dyDescent="0.3">
      <c r="A549" s="46">
        <v>43045</v>
      </c>
      <c r="B549" t="s">
        <v>7</v>
      </c>
      <c r="C549">
        <v>136</v>
      </c>
    </row>
    <row r="550" spans="1:3" x14ac:dyDescent="0.3">
      <c r="A550" s="46">
        <v>43043</v>
      </c>
      <c r="B550" t="s">
        <v>8</v>
      </c>
      <c r="C550">
        <v>75</v>
      </c>
    </row>
    <row r="551" spans="1:3" x14ac:dyDescent="0.3">
      <c r="A551" s="46">
        <v>43043</v>
      </c>
      <c r="B551" t="s">
        <v>7</v>
      </c>
      <c r="C551">
        <v>14</v>
      </c>
    </row>
    <row r="552" spans="1:3" x14ac:dyDescent="0.3">
      <c r="A552" s="46">
        <v>43040</v>
      </c>
      <c r="B552" t="s">
        <v>8</v>
      </c>
      <c r="C552">
        <v>19</v>
      </c>
    </row>
    <row r="553" spans="1:3" x14ac:dyDescent="0.3">
      <c r="A553" s="46">
        <v>43047</v>
      </c>
      <c r="B553" t="s">
        <v>13</v>
      </c>
      <c r="C553">
        <v>40</v>
      </c>
    </row>
    <row r="554" spans="1:3" x14ac:dyDescent="0.3">
      <c r="A554" s="46">
        <v>43045</v>
      </c>
      <c r="B554" t="s">
        <v>13</v>
      </c>
      <c r="C554">
        <v>54</v>
      </c>
    </row>
    <row r="555" spans="1:3" x14ac:dyDescent="0.3">
      <c r="A555" s="46">
        <v>43041</v>
      </c>
      <c r="B555" t="s">
        <v>13</v>
      </c>
      <c r="C555">
        <v>11</v>
      </c>
    </row>
    <row r="556" spans="1:3" x14ac:dyDescent="0.3">
      <c r="A556" s="46">
        <v>43044</v>
      </c>
      <c r="B556" t="s">
        <v>5</v>
      </c>
      <c r="C556">
        <v>49</v>
      </c>
    </row>
    <row r="557" spans="1:3" x14ac:dyDescent="0.3">
      <c r="A557" s="46">
        <v>43046</v>
      </c>
      <c r="B557" t="s">
        <v>8</v>
      </c>
      <c r="C557">
        <v>146</v>
      </c>
    </row>
    <row r="558" spans="1:3" x14ac:dyDescent="0.3">
      <c r="A558" s="46">
        <v>43045</v>
      </c>
      <c r="B558" t="s">
        <v>13</v>
      </c>
      <c r="C558">
        <v>162</v>
      </c>
    </row>
    <row r="559" spans="1:3" x14ac:dyDescent="0.3">
      <c r="A559" s="46">
        <v>43040</v>
      </c>
      <c r="B559" t="s">
        <v>13</v>
      </c>
      <c r="C559">
        <v>179</v>
      </c>
    </row>
    <row r="560" spans="1:3" x14ac:dyDescent="0.3">
      <c r="A560" s="46">
        <v>43047</v>
      </c>
      <c r="B560" t="s">
        <v>8</v>
      </c>
      <c r="C560">
        <v>88</v>
      </c>
    </row>
    <row r="561" spans="1:3" x14ac:dyDescent="0.3">
      <c r="A561" s="46">
        <v>43040</v>
      </c>
      <c r="B561" t="s">
        <v>8</v>
      </c>
      <c r="C561">
        <v>104</v>
      </c>
    </row>
    <row r="562" spans="1:3" x14ac:dyDescent="0.3">
      <c r="A562" s="46">
        <v>43043</v>
      </c>
      <c r="B562" t="s">
        <v>13</v>
      </c>
      <c r="C562">
        <v>56</v>
      </c>
    </row>
    <row r="563" spans="1:3" x14ac:dyDescent="0.3">
      <c r="A563" s="46">
        <v>43043</v>
      </c>
      <c r="B563" t="s">
        <v>8</v>
      </c>
      <c r="C563">
        <v>179</v>
      </c>
    </row>
    <row r="564" spans="1:3" x14ac:dyDescent="0.3">
      <c r="A564" s="46">
        <v>43045</v>
      </c>
      <c r="B564" t="s">
        <v>13</v>
      </c>
      <c r="C564">
        <v>177</v>
      </c>
    </row>
    <row r="565" spans="1:3" x14ac:dyDescent="0.3">
      <c r="A565" s="46">
        <v>43046</v>
      </c>
      <c r="B565" t="s">
        <v>8</v>
      </c>
      <c r="C565">
        <v>64</v>
      </c>
    </row>
    <row r="566" spans="1:3" x14ac:dyDescent="0.3">
      <c r="A566" s="46">
        <v>43040</v>
      </c>
      <c r="B566" t="s">
        <v>7</v>
      </c>
      <c r="C566">
        <v>172</v>
      </c>
    </row>
    <row r="567" spans="1:3" x14ac:dyDescent="0.3">
      <c r="A567" s="46">
        <v>43044</v>
      </c>
      <c r="B567" t="s">
        <v>13</v>
      </c>
      <c r="C567">
        <v>98</v>
      </c>
    </row>
    <row r="568" spans="1:3" x14ac:dyDescent="0.3">
      <c r="A568" s="46">
        <v>43046</v>
      </c>
      <c r="B568" t="s">
        <v>8</v>
      </c>
      <c r="C568">
        <v>131</v>
      </c>
    </row>
    <row r="569" spans="1:3" x14ac:dyDescent="0.3">
      <c r="A569" s="46">
        <v>43043</v>
      </c>
      <c r="B569" t="s">
        <v>8</v>
      </c>
      <c r="C569">
        <v>73</v>
      </c>
    </row>
    <row r="570" spans="1:3" x14ac:dyDescent="0.3">
      <c r="A570" s="46">
        <v>43044</v>
      </c>
      <c r="B570" t="s">
        <v>7</v>
      </c>
      <c r="C570">
        <v>168</v>
      </c>
    </row>
    <row r="571" spans="1:3" x14ac:dyDescent="0.3">
      <c r="A571" s="46">
        <v>43044</v>
      </c>
      <c r="B571" t="s">
        <v>13</v>
      </c>
      <c r="C571">
        <v>44</v>
      </c>
    </row>
    <row r="572" spans="1:3" x14ac:dyDescent="0.3">
      <c r="A572" s="46">
        <v>43045</v>
      </c>
      <c r="B572" t="s">
        <v>13</v>
      </c>
      <c r="C572">
        <v>163</v>
      </c>
    </row>
    <row r="573" spans="1:3" x14ac:dyDescent="0.3">
      <c r="A573" s="46">
        <v>43043</v>
      </c>
      <c r="B573" t="s">
        <v>13</v>
      </c>
      <c r="C573">
        <v>87</v>
      </c>
    </row>
    <row r="574" spans="1:3" x14ac:dyDescent="0.3">
      <c r="A574" s="46">
        <v>43043</v>
      </c>
      <c r="B574" t="s">
        <v>8</v>
      </c>
      <c r="C574">
        <v>47</v>
      </c>
    </row>
    <row r="575" spans="1:3" x14ac:dyDescent="0.3">
      <c r="A575" s="46">
        <v>43046</v>
      </c>
      <c r="B575" t="s">
        <v>13</v>
      </c>
      <c r="C575">
        <v>131</v>
      </c>
    </row>
    <row r="576" spans="1:3" x14ac:dyDescent="0.3">
      <c r="A576" s="46">
        <v>43045</v>
      </c>
      <c r="B576" t="s">
        <v>13</v>
      </c>
      <c r="C576">
        <v>146</v>
      </c>
    </row>
    <row r="577" spans="1:3" x14ac:dyDescent="0.3">
      <c r="A577" s="46">
        <v>43042</v>
      </c>
      <c r="B577" t="s">
        <v>7</v>
      </c>
      <c r="C577">
        <v>82</v>
      </c>
    </row>
    <row r="578" spans="1:3" x14ac:dyDescent="0.3">
      <c r="A578" s="46">
        <v>43044</v>
      </c>
      <c r="B578" t="s">
        <v>8</v>
      </c>
      <c r="C578">
        <v>129</v>
      </c>
    </row>
    <row r="579" spans="1:3" x14ac:dyDescent="0.3">
      <c r="A579" s="46">
        <v>43045</v>
      </c>
      <c r="B579" t="s">
        <v>5</v>
      </c>
      <c r="C579">
        <v>171</v>
      </c>
    </row>
    <row r="580" spans="1:3" x14ac:dyDescent="0.3">
      <c r="A580" s="46">
        <v>43042</v>
      </c>
      <c r="B580" t="s">
        <v>13</v>
      </c>
      <c r="C580">
        <v>18</v>
      </c>
    </row>
    <row r="581" spans="1:3" x14ac:dyDescent="0.3">
      <c r="A581" s="46">
        <v>43043</v>
      </c>
      <c r="B581" t="s">
        <v>13</v>
      </c>
      <c r="C581">
        <v>54</v>
      </c>
    </row>
    <row r="582" spans="1:3" x14ac:dyDescent="0.3">
      <c r="A582" s="46">
        <v>43043</v>
      </c>
      <c r="B582" t="s">
        <v>8</v>
      </c>
      <c r="C582">
        <v>185</v>
      </c>
    </row>
    <row r="583" spans="1:3" x14ac:dyDescent="0.3">
      <c r="A583" s="46">
        <v>43040</v>
      </c>
      <c r="B583" t="s">
        <v>5</v>
      </c>
      <c r="C583">
        <v>85</v>
      </c>
    </row>
    <row r="584" spans="1:3" x14ac:dyDescent="0.3">
      <c r="A584" s="46">
        <v>43045</v>
      </c>
      <c r="B584" t="s">
        <v>5</v>
      </c>
      <c r="C584">
        <v>106</v>
      </c>
    </row>
    <row r="585" spans="1:3" x14ac:dyDescent="0.3">
      <c r="A585" s="46">
        <v>43047</v>
      </c>
      <c r="B585" t="s">
        <v>7</v>
      </c>
      <c r="C585">
        <v>136</v>
      </c>
    </row>
    <row r="586" spans="1:3" x14ac:dyDescent="0.3">
      <c r="A586" s="46">
        <v>43043</v>
      </c>
      <c r="B586" t="s">
        <v>7</v>
      </c>
      <c r="C586">
        <v>96</v>
      </c>
    </row>
    <row r="587" spans="1:3" x14ac:dyDescent="0.3">
      <c r="A587" s="46">
        <v>43043</v>
      </c>
      <c r="B587" t="s">
        <v>5</v>
      </c>
      <c r="C587">
        <v>45</v>
      </c>
    </row>
    <row r="588" spans="1:3" x14ac:dyDescent="0.3">
      <c r="A588" s="46">
        <v>43044</v>
      </c>
      <c r="B588" t="s">
        <v>13</v>
      </c>
      <c r="C588">
        <v>190</v>
      </c>
    </row>
    <row r="589" spans="1:3" x14ac:dyDescent="0.3">
      <c r="A589" s="46">
        <v>43042</v>
      </c>
      <c r="B589" t="s">
        <v>8</v>
      </c>
      <c r="C589">
        <v>129</v>
      </c>
    </row>
    <row r="590" spans="1:3" x14ac:dyDescent="0.3">
      <c r="A590" s="46">
        <v>43043</v>
      </c>
      <c r="B590" t="s">
        <v>5</v>
      </c>
      <c r="C590">
        <v>140</v>
      </c>
    </row>
    <row r="591" spans="1:3" x14ac:dyDescent="0.3">
      <c r="A591" s="46">
        <v>43047</v>
      </c>
      <c r="B591" t="s">
        <v>8</v>
      </c>
      <c r="C591">
        <v>19</v>
      </c>
    </row>
    <row r="592" spans="1:3" x14ac:dyDescent="0.3">
      <c r="A592" s="46">
        <v>43046</v>
      </c>
      <c r="B592" t="s">
        <v>5</v>
      </c>
      <c r="C592">
        <v>88</v>
      </c>
    </row>
    <row r="593" spans="1:3" x14ac:dyDescent="0.3">
      <c r="A593" s="46">
        <v>43040</v>
      </c>
      <c r="B593" t="s">
        <v>8</v>
      </c>
      <c r="C593">
        <v>132</v>
      </c>
    </row>
    <row r="594" spans="1:3" x14ac:dyDescent="0.3">
      <c r="A594" s="46">
        <v>43040</v>
      </c>
      <c r="B594" t="s">
        <v>7</v>
      </c>
      <c r="C594">
        <v>38</v>
      </c>
    </row>
    <row r="595" spans="1:3" x14ac:dyDescent="0.3">
      <c r="A595" s="46">
        <v>43046</v>
      </c>
      <c r="B595" t="s">
        <v>8</v>
      </c>
      <c r="C595">
        <v>82</v>
      </c>
    </row>
    <row r="596" spans="1:3" x14ac:dyDescent="0.3">
      <c r="A596" s="46">
        <v>43047</v>
      </c>
      <c r="B596" t="s">
        <v>7</v>
      </c>
      <c r="C596">
        <v>101</v>
      </c>
    </row>
    <row r="597" spans="1:3" x14ac:dyDescent="0.3">
      <c r="A597" s="46">
        <v>43046</v>
      </c>
      <c r="B597" t="s">
        <v>13</v>
      </c>
      <c r="C597">
        <v>89</v>
      </c>
    </row>
    <row r="598" spans="1:3" x14ac:dyDescent="0.3">
      <c r="A598" s="46">
        <v>43045</v>
      </c>
      <c r="B598" t="s">
        <v>13</v>
      </c>
      <c r="C598">
        <v>59</v>
      </c>
    </row>
    <row r="599" spans="1:3" x14ac:dyDescent="0.3">
      <c r="A599" s="46">
        <v>43042</v>
      </c>
      <c r="B599" t="s">
        <v>8</v>
      </c>
      <c r="C599">
        <v>135</v>
      </c>
    </row>
    <row r="600" spans="1:3" x14ac:dyDescent="0.3">
      <c r="A600" s="46">
        <v>43046</v>
      </c>
      <c r="B600" t="s">
        <v>7</v>
      </c>
      <c r="C600">
        <v>151</v>
      </c>
    </row>
    <row r="601" spans="1:3" x14ac:dyDescent="0.3">
      <c r="A601" s="46">
        <v>43045</v>
      </c>
      <c r="B601" t="s">
        <v>7</v>
      </c>
      <c r="C601">
        <v>143</v>
      </c>
    </row>
    <row r="602" spans="1:3" x14ac:dyDescent="0.3">
      <c r="A602" s="46">
        <v>43044</v>
      </c>
      <c r="B602" t="s">
        <v>13</v>
      </c>
      <c r="C602">
        <v>50</v>
      </c>
    </row>
    <row r="603" spans="1:3" x14ac:dyDescent="0.3">
      <c r="A603" s="46">
        <v>43043</v>
      </c>
      <c r="B603" t="s">
        <v>7</v>
      </c>
      <c r="C603">
        <v>135</v>
      </c>
    </row>
    <row r="604" spans="1:3" x14ac:dyDescent="0.3">
      <c r="A604" s="46">
        <v>43045</v>
      </c>
      <c r="B604" t="s">
        <v>5</v>
      </c>
      <c r="C604">
        <v>64</v>
      </c>
    </row>
    <row r="605" spans="1:3" x14ac:dyDescent="0.3">
      <c r="A605" s="46">
        <v>43042</v>
      </c>
      <c r="B605" t="s">
        <v>13</v>
      </c>
      <c r="C605">
        <v>188</v>
      </c>
    </row>
    <row r="606" spans="1:3" x14ac:dyDescent="0.3">
      <c r="A606" s="46">
        <v>43045</v>
      </c>
      <c r="B606" t="s">
        <v>5</v>
      </c>
      <c r="C606">
        <v>40</v>
      </c>
    </row>
    <row r="607" spans="1:3" x14ac:dyDescent="0.3">
      <c r="A607" s="46">
        <v>43042</v>
      </c>
      <c r="B607" t="s">
        <v>8</v>
      </c>
      <c r="C607">
        <v>6</v>
      </c>
    </row>
    <row r="608" spans="1:3" x14ac:dyDescent="0.3">
      <c r="A608" s="46">
        <v>43041</v>
      </c>
      <c r="B608" t="s">
        <v>13</v>
      </c>
      <c r="C608">
        <v>18</v>
      </c>
    </row>
    <row r="609" spans="1:3" x14ac:dyDescent="0.3">
      <c r="A609" s="46">
        <v>43045</v>
      </c>
      <c r="B609" t="s">
        <v>5</v>
      </c>
      <c r="C609">
        <v>126</v>
      </c>
    </row>
    <row r="610" spans="1:3" x14ac:dyDescent="0.3">
      <c r="A610" s="46">
        <v>43044</v>
      </c>
      <c r="B610" t="s">
        <v>5</v>
      </c>
      <c r="C610">
        <v>136</v>
      </c>
    </row>
    <row r="611" spans="1:3" x14ac:dyDescent="0.3">
      <c r="A611" s="46">
        <v>43047</v>
      </c>
      <c r="B611" t="s">
        <v>8</v>
      </c>
      <c r="C611">
        <v>101</v>
      </c>
    </row>
    <row r="612" spans="1:3" x14ac:dyDescent="0.3">
      <c r="A612" s="46">
        <v>43042</v>
      </c>
      <c r="B612" t="s">
        <v>5</v>
      </c>
      <c r="C612">
        <v>23</v>
      </c>
    </row>
    <row r="613" spans="1:3" x14ac:dyDescent="0.3">
      <c r="A613" s="46">
        <v>43040</v>
      </c>
      <c r="B613" t="s">
        <v>7</v>
      </c>
      <c r="C613">
        <v>42</v>
      </c>
    </row>
    <row r="614" spans="1:3" x14ac:dyDescent="0.3">
      <c r="A614" s="46">
        <v>43043</v>
      </c>
      <c r="B614" t="s">
        <v>7</v>
      </c>
      <c r="C614">
        <v>98</v>
      </c>
    </row>
    <row r="615" spans="1:3" x14ac:dyDescent="0.3">
      <c r="A615" s="46">
        <v>43040</v>
      </c>
      <c r="B615" t="s">
        <v>5</v>
      </c>
      <c r="C615">
        <v>104</v>
      </c>
    </row>
    <row r="616" spans="1:3" x14ac:dyDescent="0.3">
      <c r="A616" s="46">
        <v>43043</v>
      </c>
      <c r="B616" t="s">
        <v>5</v>
      </c>
      <c r="C616">
        <v>113</v>
      </c>
    </row>
    <row r="617" spans="1:3" x14ac:dyDescent="0.3">
      <c r="A617" s="46">
        <v>43042</v>
      </c>
      <c r="B617" t="s">
        <v>8</v>
      </c>
      <c r="C617">
        <v>48</v>
      </c>
    </row>
    <row r="618" spans="1:3" x14ac:dyDescent="0.3">
      <c r="A618" s="46">
        <v>43047</v>
      </c>
      <c r="B618" t="s">
        <v>13</v>
      </c>
      <c r="C618">
        <v>168</v>
      </c>
    </row>
    <row r="619" spans="1:3" x14ac:dyDescent="0.3">
      <c r="A619" s="46">
        <v>43040</v>
      </c>
      <c r="B619" t="s">
        <v>8</v>
      </c>
      <c r="C619">
        <v>36</v>
      </c>
    </row>
    <row r="620" spans="1:3" x14ac:dyDescent="0.3">
      <c r="A620" s="46">
        <v>43040</v>
      </c>
      <c r="B620" t="s">
        <v>5</v>
      </c>
      <c r="C620">
        <v>122</v>
      </c>
    </row>
    <row r="621" spans="1:3" x14ac:dyDescent="0.3">
      <c r="A621" s="46">
        <v>43041</v>
      </c>
      <c r="B621" t="s">
        <v>5</v>
      </c>
      <c r="C621">
        <v>136</v>
      </c>
    </row>
    <row r="622" spans="1:3" x14ac:dyDescent="0.3">
      <c r="A622" s="46">
        <v>43040</v>
      </c>
      <c r="B622" t="s">
        <v>7</v>
      </c>
      <c r="C622">
        <v>76</v>
      </c>
    </row>
    <row r="623" spans="1:3" x14ac:dyDescent="0.3">
      <c r="A623" s="46">
        <v>43041</v>
      </c>
      <c r="B623" t="s">
        <v>13</v>
      </c>
      <c r="C623">
        <v>161</v>
      </c>
    </row>
    <row r="624" spans="1:3" x14ac:dyDescent="0.3">
      <c r="A624" s="46">
        <v>43043</v>
      </c>
      <c r="B624" t="s">
        <v>7</v>
      </c>
      <c r="C624">
        <v>187</v>
      </c>
    </row>
    <row r="625" spans="1:3" x14ac:dyDescent="0.3">
      <c r="A625" s="46">
        <v>43044</v>
      </c>
      <c r="B625" t="s">
        <v>7</v>
      </c>
      <c r="C625">
        <v>38</v>
      </c>
    </row>
    <row r="626" spans="1:3" x14ac:dyDescent="0.3">
      <c r="A626" s="46">
        <v>43047</v>
      </c>
      <c r="B626" t="s">
        <v>5</v>
      </c>
      <c r="C626">
        <v>5</v>
      </c>
    </row>
    <row r="627" spans="1:3" x14ac:dyDescent="0.3">
      <c r="A627" s="46">
        <v>43045</v>
      </c>
      <c r="B627" t="s">
        <v>13</v>
      </c>
      <c r="C627">
        <v>44</v>
      </c>
    </row>
    <row r="628" spans="1:3" x14ac:dyDescent="0.3">
      <c r="A628" s="46">
        <v>43041</v>
      </c>
      <c r="B628" t="s">
        <v>13</v>
      </c>
      <c r="C628">
        <v>101</v>
      </c>
    </row>
    <row r="629" spans="1:3" x14ac:dyDescent="0.3">
      <c r="A629" s="46">
        <v>43046</v>
      </c>
      <c r="B629" t="s">
        <v>8</v>
      </c>
      <c r="C629">
        <v>129</v>
      </c>
    </row>
    <row r="630" spans="1:3" x14ac:dyDescent="0.3">
      <c r="A630" s="46">
        <v>43045</v>
      </c>
      <c r="B630" t="s">
        <v>7</v>
      </c>
      <c r="C630">
        <v>170</v>
      </c>
    </row>
    <row r="631" spans="1:3" x14ac:dyDescent="0.3">
      <c r="A631" s="46">
        <v>43047</v>
      </c>
      <c r="B631" t="s">
        <v>7</v>
      </c>
      <c r="C631">
        <v>169</v>
      </c>
    </row>
    <row r="632" spans="1:3" x14ac:dyDescent="0.3">
      <c r="A632" s="46">
        <v>43047</v>
      </c>
      <c r="B632" t="s">
        <v>13</v>
      </c>
      <c r="C632">
        <v>173</v>
      </c>
    </row>
    <row r="633" spans="1:3" x14ac:dyDescent="0.3">
      <c r="A633" s="46">
        <v>43044</v>
      </c>
      <c r="B633" t="s">
        <v>7</v>
      </c>
      <c r="C633">
        <v>155</v>
      </c>
    </row>
    <row r="634" spans="1:3" x14ac:dyDescent="0.3">
      <c r="A634" s="46">
        <v>43043</v>
      </c>
      <c r="B634" t="s">
        <v>5</v>
      </c>
      <c r="C634">
        <v>40</v>
      </c>
    </row>
    <row r="635" spans="1:3" x14ac:dyDescent="0.3">
      <c r="A635" s="46">
        <v>43046</v>
      </c>
      <c r="B635" t="s">
        <v>7</v>
      </c>
      <c r="C635">
        <v>14</v>
      </c>
    </row>
    <row r="636" spans="1:3" x14ac:dyDescent="0.3">
      <c r="A636" s="46">
        <v>43042</v>
      </c>
      <c r="B636" t="s">
        <v>8</v>
      </c>
      <c r="C636">
        <v>172</v>
      </c>
    </row>
    <row r="637" spans="1:3" x14ac:dyDescent="0.3">
      <c r="A637" s="46">
        <v>43044</v>
      </c>
      <c r="B637" t="s">
        <v>5</v>
      </c>
      <c r="C637">
        <v>139</v>
      </c>
    </row>
    <row r="638" spans="1:3" x14ac:dyDescent="0.3">
      <c r="A638" s="46">
        <v>43043</v>
      </c>
      <c r="B638" t="s">
        <v>7</v>
      </c>
      <c r="C638">
        <v>167</v>
      </c>
    </row>
    <row r="639" spans="1:3" x14ac:dyDescent="0.3">
      <c r="A639" s="46">
        <v>43044</v>
      </c>
      <c r="B639" t="s">
        <v>5</v>
      </c>
      <c r="C639">
        <v>191</v>
      </c>
    </row>
    <row r="640" spans="1:3" x14ac:dyDescent="0.3">
      <c r="A640" s="46">
        <v>43040</v>
      </c>
      <c r="B640" t="s">
        <v>13</v>
      </c>
      <c r="C640">
        <v>84</v>
      </c>
    </row>
    <row r="641" spans="1:3" x14ac:dyDescent="0.3">
      <c r="A641" s="46">
        <v>43043</v>
      </c>
      <c r="B641" t="s">
        <v>13</v>
      </c>
      <c r="C641">
        <v>102</v>
      </c>
    </row>
    <row r="642" spans="1:3" x14ac:dyDescent="0.3">
      <c r="A642" s="46">
        <v>43040</v>
      </c>
      <c r="B642" t="s">
        <v>7</v>
      </c>
      <c r="C642">
        <v>100</v>
      </c>
    </row>
    <row r="643" spans="1:3" x14ac:dyDescent="0.3">
      <c r="A643" s="46">
        <v>43044</v>
      </c>
      <c r="B643" t="s">
        <v>13</v>
      </c>
      <c r="C643">
        <v>107</v>
      </c>
    </row>
    <row r="644" spans="1:3" x14ac:dyDescent="0.3">
      <c r="A644" s="46">
        <v>43044</v>
      </c>
      <c r="B644" t="s">
        <v>13</v>
      </c>
      <c r="C644">
        <v>1</v>
      </c>
    </row>
    <row r="645" spans="1:3" x14ac:dyDescent="0.3">
      <c r="A645" s="46">
        <v>43043</v>
      </c>
      <c r="B645" t="s">
        <v>5</v>
      </c>
      <c r="C645">
        <v>92</v>
      </c>
    </row>
    <row r="646" spans="1:3" x14ac:dyDescent="0.3">
      <c r="A646" s="46">
        <v>43044</v>
      </c>
      <c r="B646" t="s">
        <v>5</v>
      </c>
      <c r="C646">
        <v>18</v>
      </c>
    </row>
    <row r="647" spans="1:3" x14ac:dyDescent="0.3">
      <c r="A647" s="46">
        <v>43045</v>
      </c>
      <c r="B647" t="s">
        <v>5</v>
      </c>
      <c r="C647">
        <v>169</v>
      </c>
    </row>
    <row r="648" spans="1:3" x14ac:dyDescent="0.3">
      <c r="A648" s="46">
        <v>43045</v>
      </c>
      <c r="B648" t="s">
        <v>13</v>
      </c>
      <c r="C648">
        <v>129</v>
      </c>
    </row>
    <row r="649" spans="1:3" x14ac:dyDescent="0.3">
      <c r="A649" s="46">
        <v>43042</v>
      </c>
      <c r="B649" t="s">
        <v>13</v>
      </c>
      <c r="C649">
        <v>30</v>
      </c>
    </row>
    <row r="650" spans="1:3" x14ac:dyDescent="0.3">
      <c r="A650" s="46">
        <v>43041</v>
      </c>
      <c r="B650" t="s">
        <v>5</v>
      </c>
      <c r="C650">
        <v>12</v>
      </c>
    </row>
    <row r="651" spans="1:3" x14ac:dyDescent="0.3">
      <c r="A651" s="46">
        <v>43044</v>
      </c>
      <c r="B651" t="s">
        <v>5</v>
      </c>
      <c r="C651">
        <v>59</v>
      </c>
    </row>
    <row r="652" spans="1:3" x14ac:dyDescent="0.3">
      <c r="A652" s="46">
        <v>43047</v>
      </c>
      <c r="B652" t="s">
        <v>7</v>
      </c>
      <c r="C652">
        <v>120</v>
      </c>
    </row>
    <row r="653" spans="1:3" x14ac:dyDescent="0.3">
      <c r="A653" s="46">
        <v>43043</v>
      </c>
      <c r="B653" t="s">
        <v>7</v>
      </c>
      <c r="C653">
        <v>72</v>
      </c>
    </row>
    <row r="654" spans="1:3" x14ac:dyDescent="0.3">
      <c r="A654" s="46">
        <v>43045</v>
      </c>
      <c r="B654" t="s">
        <v>13</v>
      </c>
      <c r="C654">
        <v>111</v>
      </c>
    </row>
    <row r="655" spans="1:3" x14ac:dyDescent="0.3">
      <c r="A655" s="46">
        <v>43040</v>
      </c>
      <c r="B655" t="s">
        <v>13</v>
      </c>
      <c r="C655">
        <v>182</v>
      </c>
    </row>
    <row r="656" spans="1:3" x14ac:dyDescent="0.3">
      <c r="A656" s="46">
        <v>43041</v>
      </c>
      <c r="B656" t="s">
        <v>7</v>
      </c>
      <c r="C656">
        <v>175</v>
      </c>
    </row>
    <row r="657" spans="1:3" x14ac:dyDescent="0.3">
      <c r="A657" s="46">
        <v>43043</v>
      </c>
      <c r="B657" t="s">
        <v>5</v>
      </c>
      <c r="C657">
        <v>8</v>
      </c>
    </row>
    <row r="658" spans="1:3" x14ac:dyDescent="0.3">
      <c r="A658" s="46">
        <v>43041</v>
      </c>
      <c r="B658" t="s">
        <v>13</v>
      </c>
      <c r="C658">
        <v>69</v>
      </c>
    </row>
    <row r="659" spans="1:3" x14ac:dyDescent="0.3">
      <c r="A659" s="46">
        <v>43044</v>
      </c>
      <c r="B659" t="s">
        <v>5</v>
      </c>
      <c r="C659">
        <v>60</v>
      </c>
    </row>
    <row r="660" spans="1:3" x14ac:dyDescent="0.3">
      <c r="A660" s="46">
        <v>43046</v>
      </c>
      <c r="B660" t="s">
        <v>5</v>
      </c>
      <c r="C660">
        <v>25</v>
      </c>
    </row>
    <row r="661" spans="1:3" x14ac:dyDescent="0.3">
      <c r="A661" s="46">
        <v>43045</v>
      </c>
      <c r="B661" t="s">
        <v>8</v>
      </c>
      <c r="C661">
        <v>118</v>
      </c>
    </row>
    <row r="662" spans="1:3" x14ac:dyDescent="0.3">
      <c r="A662" s="46">
        <v>43045</v>
      </c>
      <c r="B662" t="s">
        <v>7</v>
      </c>
      <c r="C662">
        <v>63</v>
      </c>
    </row>
    <row r="663" spans="1:3" x14ac:dyDescent="0.3">
      <c r="A663" s="46">
        <v>43047</v>
      </c>
      <c r="B663" t="s">
        <v>7</v>
      </c>
      <c r="C663">
        <v>123</v>
      </c>
    </row>
    <row r="664" spans="1:3" x14ac:dyDescent="0.3">
      <c r="A664" s="46">
        <v>43042</v>
      </c>
      <c r="B664" t="s">
        <v>8</v>
      </c>
      <c r="C664">
        <v>90</v>
      </c>
    </row>
    <row r="665" spans="1:3" x14ac:dyDescent="0.3">
      <c r="A665" s="46">
        <v>43047</v>
      </c>
      <c r="B665" t="s">
        <v>8</v>
      </c>
      <c r="C665">
        <v>41</v>
      </c>
    </row>
    <row r="666" spans="1:3" x14ac:dyDescent="0.3">
      <c r="A666" s="46">
        <v>43047</v>
      </c>
      <c r="B666" t="s">
        <v>7</v>
      </c>
      <c r="C666">
        <v>162</v>
      </c>
    </row>
    <row r="667" spans="1:3" x14ac:dyDescent="0.3">
      <c r="A667" s="46">
        <v>43046</v>
      </c>
      <c r="B667" t="s">
        <v>5</v>
      </c>
      <c r="C667">
        <v>9</v>
      </c>
    </row>
    <row r="668" spans="1:3" x14ac:dyDescent="0.3">
      <c r="A668" s="46">
        <v>43046</v>
      </c>
      <c r="B668" t="s">
        <v>5</v>
      </c>
      <c r="C668">
        <v>161</v>
      </c>
    </row>
    <row r="669" spans="1:3" x14ac:dyDescent="0.3">
      <c r="A669" s="46">
        <v>43046</v>
      </c>
      <c r="B669" t="s">
        <v>13</v>
      </c>
      <c r="C669">
        <v>30</v>
      </c>
    </row>
    <row r="670" spans="1:3" x14ac:dyDescent="0.3">
      <c r="A670" s="46">
        <v>43044</v>
      </c>
      <c r="B670" t="s">
        <v>5</v>
      </c>
      <c r="C670">
        <v>120</v>
      </c>
    </row>
    <row r="671" spans="1:3" x14ac:dyDescent="0.3">
      <c r="A671" s="46">
        <v>43044</v>
      </c>
      <c r="B671" t="s">
        <v>8</v>
      </c>
      <c r="C671">
        <v>39</v>
      </c>
    </row>
    <row r="672" spans="1:3" x14ac:dyDescent="0.3">
      <c r="A672" s="46">
        <v>43047</v>
      </c>
      <c r="B672" t="s">
        <v>5</v>
      </c>
      <c r="C672">
        <v>131</v>
      </c>
    </row>
    <row r="673" spans="1:3" x14ac:dyDescent="0.3">
      <c r="A673" s="46">
        <v>43045</v>
      </c>
      <c r="B673" t="s">
        <v>13</v>
      </c>
      <c r="C673">
        <v>90</v>
      </c>
    </row>
    <row r="674" spans="1:3" x14ac:dyDescent="0.3">
      <c r="A674" s="46">
        <v>43044</v>
      </c>
      <c r="B674" t="s">
        <v>7</v>
      </c>
      <c r="C674">
        <v>171</v>
      </c>
    </row>
    <row r="675" spans="1:3" x14ac:dyDescent="0.3">
      <c r="A675" s="46">
        <v>43045</v>
      </c>
      <c r="B675" t="s">
        <v>7</v>
      </c>
      <c r="C675">
        <v>158</v>
      </c>
    </row>
    <row r="676" spans="1:3" x14ac:dyDescent="0.3">
      <c r="A676" s="46">
        <v>43041</v>
      </c>
      <c r="B676" t="s">
        <v>7</v>
      </c>
      <c r="C676">
        <v>130</v>
      </c>
    </row>
    <row r="677" spans="1:3" x14ac:dyDescent="0.3">
      <c r="A677" s="46">
        <v>43046</v>
      </c>
      <c r="B677" t="s">
        <v>13</v>
      </c>
      <c r="C677">
        <v>149</v>
      </c>
    </row>
    <row r="678" spans="1:3" x14ac:dyDescent="0.3">
      <c r="A678" s="46">
        <v>43047</v>
      </c>
      <c r="B678" t="s">
        <v>5</v>
      </c>
      <c r="C678">
        <v>143</v>
      </c>
    </row>
    <row r="679" spans="1:3" x14ac:dyDescent="0.3">
      <c r="A679" s="46">
        <v>43040</v>
      </c>
      <c r="B679" t="s">
        <v>13</v>
      </c>
      <c r="C679">
        <v>48</v>
      </c>
    </row>
    <row r="680" spans="1:3" x14ac:dyDescent="0.3">
      <c r="A680" s="46">
        <v>43044</v>
      </c>
      <c r="B680" t="s">
        <v>8</v>
      </c>
      <c r="C680">
        <v>17</v>
      </c>
    </row>
    <row r="681" spans="1:3" x14ac:dyDescent="0.3">
      <c r="A681" s="46">
        <v>43042</v>
      </c>
      <c r="B681" t="s">
        <v>7</v>
      </c>
      <c r="C681">
        <v>35</v>
      </c>
    </row>
    <row r="682" spans="1:3" x14ac:dyDescent="0.3">
      <c r="A682" s="46">
        <v>43044</v>
      </c>
      <c r="B682" t="s">
        <v>5</v>
      </c>
      <c r="C682">
        <v>168</v>
      </c>
    </row>
    <row r="683" spans="1:3" x14ac:dyDescent="0.3">
      <c r="A683" s="46">
        <v>43041</v>
      </c>
      <c r="B683" t="s">
        <v>5</v>
      </c>
      <c r="C683">
        <v>106</v>
      </c>
    </row>
    <row r="684" spans="1:3" x14ac:dyDescent="0.3">
      <c r="A684" s="46">
        <v>43044</v>
      </c>
      <c r="B684" t="s">
        <v>8</v>
      </c>
      <c r="C684">
        <v>36</v>
      </c>
    </row>
    <row r="685" spans="1:3" x14ac:dyDescent="0.3">
      <c r="A685" s="46">
        <v>43041</v>
      </c>
      <c r="B685" t="s">
        <v>8</v>
      </c>
      <c r="C685">
        <v>19</v>
      </c>
    </row>
    <row r="686" spans="1:3" x14ac:dyDescent="0.3">
      <c r="A686" s="46">
        <v>43044</v>
      </c>
      <c r="B686" t="s">
        <v>8</v>
      </c>
      <c r="C686">
        <v>173</v>
      </c>
    </row>
    <row r="687" spans="1:3" x14ac:dyDescent="0.3">
      <c r="A687" s="46">
        <v>43042</v>
      </c>
      <c r="B687" t="s">
        <v>7</v>
      </c>
      <c r="C687">
        <v>66</v>
      </c>
    </row>
    <row r="688" spans="1:3" x14ac:dyDescent="0.3">
      <c r="A688" s="46">
        <v>43045</v>
      </c>
      <c r="B688" t="s">
        <v>8</v>
      </c>
      <c r="C688">
        <v>25</v>
      </c>
    </row>
    <row r="689" spans="1:3" x14ac:dyDescent="0.3">
      <c r="A689" s="46">
        <v>43043</v>
      </c>
      <c r="B689" t="s">
        <v>5</v>
      </c>
      <c r="C689">
        <v>47</v>
      </c>
    </row>
    <row r="690" spans="1:3" x14ac:dyDescent="0.3">
      <c r="A690" s="46">
        <v>43047</v>
      </c>
      <c r="B690" t="s">
        <v>5</v>
      </c>
      <c r="C690">
        <v>49</v>
      </c>
    </row>
    <row r="691" spans="1:3" x14ac:dyDescent="0.3">
      <c r="A691" s="46">
        <v>43047</v>
      </c>
      <c r="B691" t="s">
        <v>7</v>
      </c>
      <c r="C691">
        <v>1</v>
      </c>
    </row>
    <row r="692" spans="1:3" x14ac:dyDescent="0.3">
      <c r="A692" s="46">
        <v>43042</v>
      </c>
      <c r="B692" t="s">
        <v>13</v>
      </c>
      <c r="C692">
        <v>75</v>
      </c>
    </row>
    <row r="693" spans="1:3" x14ac:dyDescent="0.3">
      <c r="A693" s="46">
        <v>43045</v>
      </c>
      <c r="B693" t="s">
        <v>5</v>
      </c>
      <c r="C693">
        <v>137</v>
      </c>
    </row>
    <row r="694" spans="1:3" x14ac:dyDescent="0.3">
      <c r="A694" s="46">
        <v>43040</v>
      </c>
      <c r="B694" t="s">
        <v>13</v>
      </c>
      <c r="C694">
        <v>101</v>
      </c>
    </row>
    <row r="695" spans="1:3" x14ac:dyDescent="0.3">
      <c r="A695" s="46">
        <v>43046</v>
      </c>
      <c r="B695" t="s">
        <v>7</v>
      </c>
      <c r="C695">
        <v>11</v>
      </c>
    </row>
    <row r="696" spans="1:3" x14ac:dyDescent="0.3">
      <c r="A696" s="46">
        <v>43042</v>
      </c>
      <c r="B696" t="s">
        <v>8</v>
      </c>
      <c r="C696">
        <v>42</v>
      </c>
    </row>
    <row r="697" spans="1:3" x14ac:dyDescent="0.3">
      <c r="A697" s="46">
        <v>43040</v>
      </c>
      <c r="B697" t="s">
        <v>5</v>
      </c>
      <c r="C697">
        <v>185</v>
      </c>
    </row>
    <row r="698" spans="1:3" x14ac:dyDescent="0.3">
      <c r="A698" s="46">
        <v>43043</v>
      </c>
      <c r="B698" t="s">
        <v>5</v>
      </c>
      <c r="C698">
        <v>160</v>
      </c>
    </row>
    <row r="699" spans="1:3" x14ac:dyDescent="0.3">
      <c r="A699" s="46">
        <v>43043</v>
      </c>
      <c r="B699" t="s">
        <v>5</v>
      </c>
      <c r="C699">
        <v>7</v>
      </c>
    </row>
    <row r="700" spans="1:3" x14ac:dyDescent="0.3">
      <c r="A700" s="46">
        <v>43044</v>
      </c>
      <c r="B700" t="s">
        <v>13</v>
      </c>
      <c r="C700">
        <v>1</v>
      </c>
    </row>
    <row r="701" spans="1:3" x14ac:dyDescent="0.3">
      <c r="A701" s="46">
        <v>43045</v>
      </c>
      <c r="B701" t="s">
        <v>5</v>
      </c>
      <c r="C701">
        <v>80</v>
      </c>
    </row>
    <row r="702" spans="1:3" x14ac:dyDescent="0.3">
      <c r="A702" s="46">
        <v>43047</v>
      </c>
      <c r="B702" t="s">
        <v>7</v>
      </c>
      <c r="C702">
        <v>117</v>
      </c>
    </row>
    <row r="703" spans="1:3" x14ac:dyDescent="0.3">
      <c r="A703" s="46">
        <v>43041</v>
      </c>
      <c r="B703" t="s">
        <v>8</v>
      </c>
      <c r="C703">
        <v>37</v>
      </c>
    </row>
    <row r="704" spans="1:3" x14ac:dyDescent="0.3">
      <c r="A704" s="46">
        <v>43040</v>
      </c>
      <c r="B704" t="s">
        <v>5</v>
      </c>
      <c r="C704">
        <v>179</v>
      </c>
    </row>
    <row r="705" spans="1:3" x14ac:dyDescent="0.3">
      <c r="A705" s="46">
        <v>43046</v>
      </c>
      <c r="B705" t="s">
        <v>7</v>
      </c>
      <c r="C705">
        <v>60</v>
      </c>
    </row>
    <row r="706" spans="1:3" x14ac:dyDescent="0.3">
      <c r="A706" s="46">
        <v>43043</v>
      </c>
      <c r="B706" t="s">
        <v>8</v>
      </c>
      <c r="C706">
        <v>60</v>
      </c>
    </row>
    <row r="707" spans="1:3" x14ac:dyDescent="0.3">
      <c r="A707" s="46">
        <v>43044</v>
      </c>
      <c r="B707" t="s">
        <v>7</v>
      </c>
      <c r="C707">
        <v>79</v>
      </c>
    </row>
    <row r="708" spans="1:3" x14ac:dyDescent="0.3">
      <c r="A708" s="46">
        <v>43047</v>
      </c>
      <c r="B708" t="s">
        <v>7</v>
      </c>
      <c r="C708">
        <v>63</v>
      </c>
    </row>
    <row r="709" spans="1:3" x14ac:dyDescent="0.3">
      <c r="A709" s="46">
        <v>43040</v>
      </c>
      <c r="B709" t="s">
        <v>5</v>
      </c>
      <c r="C709">
        <v>145</v>
      </c>
    </row>
    <row r="710" spans="1:3" x14ac:dyDescent="0.3">
      <c r="A710" s="46">
        <v>43045</v>
      </c>
      <c r="B710" t="s">
        <v>13</v>
      </c>
      <c r="C710">
        <v>39</v>
      </c>
    </row>
    <row r="711" spans="1:3" x14ac:dyDescent="0.3">
      <c r="A711" s="46">
        <v>43043</v>
      </c>
      <c r="B711" t="s">
        <v>7</v>
      </c>
      <c r="C711">
        <v>117</v>
      </c>
    </row>
    <row r="712" spans="1:3" x14ac:dyDescent="0.3">
      <c r="A712" s="46">
        <v>43044</v>
      </c>
      <c r="B712" t="s">
        <v>8</v>
      </c>
      <c r="C712">
        <v>127</v>
      </c>
    </row>
    <row r="713" spans="1:3" x14ac:dyDescent="0.3">
      <c r="A713" s="46">
        <v>43047</v>
      </c>
      <c r="B713" t="s">
        <v>7</v>
      </c>
      <c r="C713">
        <v>13</v>
      </c>
    </row>
    <row r="714" spans="1:3" x14ac:dyDescent="0.3">
      <c r="A714" s="46">
        <v>43044</v>
      </c>
      <c r="B714" t="s">
        <v>7</v>
      </c>
      <c r="C714">
        <v>92</v>
      </c>
    </row>
    <row r="715" spans="1:3" x14ac:dyDescent="0.3">
      <c r="A715" s="46">
        <v>43047</v>
      </c>
      <c r="B715" t="s">
        <v>7</v>
      </c>
      <c r="C715">
        <v>147</v>
      </c>
    </row>
    <row r="716" spans="1:3" x14ac:dyDescent="0.3">
      <c r="A716" s="46">
        <v>43041</v>
      </c>
      <c r="B716" t="s">
        <v>5</v>
      </c>
      <c r="C716">
        <v>175</v>
      </c>
    </row>
    <row r="717" spans="1:3" x14ac:dyDescent="0.3">
      <c r="A717" s="46">
        <v>43041</v>
      </c>
      <c r="B717" t="s">
        <v>7</v>
      </c>
      <c r="C717">
        <v>165</v>
      </c>
    </row>
    <row r="718" spans="1:3" x14ac:dyDescent="0.3">
      <c r="A718" s="46">
        <v>43041</v>
      </c>
      <c r="B718" t="s">
        <v>5</v>
      </c>
      <c r="C718">
        <v>10</v>
      </c>
    </row>
    <row r="719" spans="1:3" x14ac:dyDescent="0.3">
      <c r="A719" s="46">
        <v>43042</v>
      </c>
      <c r="B719" t="s">
        <v>8</v>
      </c>
      <c r="C719">
        <v>110</v>
      </c>
    </row>
    <row r="720" spans="1:3" x14ac:dyDescent="0.3">
      <c r="A720" s="46">
        <v>43040</v>
      </c>
      <c r="B720" t="s">
        <v>7</v>
      </c>
      <c r="C720">
        <v>133</v>
      </c>
    </row>
    <row r="721" spans="1:3" x14ac:dyDescent="0.3">
      <c r="A721" s="46">
        <v>43041</v>
      </c>
      <c r="B721" t="s">
        <v>5</v>
      </c>
      <c r="C721">
        <v>191</v>
      </c>
    </row>
    <row r="722" spans="1:3" x14ac:dyDescent="0.3">
      <c r="A722" s="46">
        <v>43043</v>
      </c>
      <c r="B722" t="s">
        <v>7</v>
      </c>
      <c r="C722">
        <v>123</v>
      </c>
    </row>
    <row r="723" spans="1:3" x14ac:dyDescent="0.3">
      <c r="A723" s="46">
        <v>43046</v>
      </c>
      <c r="B723" t="s">
        <v>8</v>
      </c>
      <c r="C723">
        <v>26</v>
      </c>
    </row>
    <row r="724" spans="1:3" x14ac:dyDescent="0.3">
      <c r="A724" s="46">
        <v>43047</v>
      </c>
      <c r="B724" t="s">
        <v>7</v>
      </c>
      <c r="C724">
        <v>88</v>
      </c>
    </row>
    <row r="725" spans="1:3" x14ac:dyDescent="0.3">
      <c r="A725" s="46">
        <v>43046</v>
      </c>
      <c r="B725" t="s">
        <v>8</v>
      </c>
      <c r="C725">
        <v>119</v>
      </c>
    </row>
    <row r="726" spans="1:3" x14ac:dyDescent="0.3">
      <c r="A726" s="46">
        <v>43043</v>
      </c>
      <c r="B726" t="s">
        <v>7</v>
      </c>
      <c r="C726">
        <v>78</v>
      </c>
    </row>
    <row r="727" spans="1:3" x14ac:dyDescent="0.3">
      <c r="A727" s="46">
        <v>43040</v>
      </c>
      <c r="B727" t="s">
        <v>13</v>
      </c>
      <c r="C727">
        <v>141</v>
      </c>
    </row>
    <row r="728" spans="1:3" x14ac:dyDescent="0.3">
      <c r="A728" s="46">
        <v>43040</v>
      </c>
      <c r="B728" t="s">
        <v>5</v>
      </c>
      <c r="C728">
        <v>187</v>
      </c>
    </row>
    <row r="729" spans="1:3" x14ac:dyDescent="0.3">
      <c r="A729" s="46">
        <v>43043</v>
      </c>
      <c r="B729" t="s">
        <v>7</v>
      </c>
      <c r="C729">
        <v>2</v>
      </c>
    </row>
    <row r="730" spans="1:3" x14ac:dyDescent="0.3">
      <c r="A730" s="46">
        <v>43044</v>
      </c>
      <c r="B730" t="s">
        <v>5</v>
      </c>
      <c r="C730">
        <v>163</v>
      </c>
    </row>
    <row r="731" spans="1:3" x14ac:dyDescent="0.3">
      <c r="A731" s="46">
        <v>43045</v>
      </c>
      <c r="B731" t="s">
        <v>7</v>
      </c>
      <c r="C731">
        <v>106</v>
      </c>
    </row>
    <row r="732" spans="1:3" x14ac:dyDescent="0.3">
      <c r="A732" s="46">
        <v>43044</v>
      </c>
      <c r="B732" t="s">
        <v>13</v>
      </c>
      <c r="C732">
        <v>9</v>
      </c>
    </row>
    <row r="733" spans="1:3" x14ac:dyDescent="0.3">
      <c r="A733" s="46">
        <v>43040</v>
      </c>
      <c r="B733" t="s">
        <v>7</v>
      </c>
      <c r="C733">
        <v>70</v>
      </c>
    </row>
    <row r="734" spans="1:3" x14ac:dyDescent="0.3">
      <c r="A734" s="46">
        <v>43044</v>
      </c>
      <c r="B734" t="s">
        <v>5</v>
      </c>
      <c r="C734">
        <v>88</v>
      </c>
    </row>
    <row r="735" spans="1:3" x14ac:dyDescent="0.3">
      <c r="A735" s="46">
        <v>43040</v>
      </c>
      <c r="B735" t="s">
        <v>7</v>
      </c>
      <c r="C735">
        <v>129</v>
      </c>
    </row>
    <row r="736" spans="1:3" x14ac:dyDescent="0.3">
      <c r="A736" s="46">
        <v>43040</v>
      </c>
      <c r="B736" t="s">
        <v>7</v>
      </c>
      <c r="C736">
        <v>50</v>
      </c>
    </row>
    <row r="737" spans="1:3" x14ac:dyDescent="0.3">
      <c r="A737" s="46">
        <v>43041</v>
      </c>
      <c r="B737" t="s">
        <v>7</v>
      </c>
      <c r="C737">
        <v>158</v>
      </c>
    </row>
    <row r="738" spans="1:3" x14ac:dyDescent="0.3">
      <c r="A738" s="46">
        <v>43046</v>
      </c>
      <c r="B738" t="s">
        <v>5</v>
      </c>
      <c r="C738">
        <v>166</v>
      </c>
    </row>
    <row r="739" spans="1:3" x14ac:dyDescent="0.3">
      <c r="A739" s="46">
        <v>43047</v>
      </c>
      <c r="B739" t="s">
        <v>13</v>
      </c>
      <c r="C739">
        <v>151</v>
      </c>
    </row>
    <row r="740" spans="1:3" x14ac:dyDescent="0.3">
      <c r="A740" s="46">
        <v>43042</v>
      </c>
      <c r="B740" t="s">
        <v>13</v>
      </c>
      <c r="C740">
        <v>110</v>
      </c>
    </row>
    <row r="741" spans="1:3" x14ac:dyDescent="0.3">
      <c r="A741" s="46">
        <v>43040</v>
      </c>
      <c r="B741" t="s">
        <v>5</v>
      </c>
      <c r="C741">
        <v>13</v>
      </c>
    </row>
    <row r="742" spans="1:3" x14ac:dyDescent="0.3">
      <c r="A742" s="46">
        <v>43040</v>
      </c>
      <c r="B742" t="s">
        <v>7</v>
      </c>
      <c r="C742">
        <v>85</v>
      </c>
    </row>
    <row r="743" spans="1:3" x14ac:dyDescent="0.3">
      <c r="A743" s="46">
        <v>43046</v>
      </c>
      <c r="B743" t="s">
        <v>13</v>
      </c>
      <c r="C743">
        <v>74</v>
      </c>
    </row>
    <row r="744" spans="1:3" x14ac:dyDescent="0.3">
      <c r="A744" s="46">
        <v>43044</v>
      </c>
      <c r="B744" t="s">
        <v>7</v>
      </c>
      <c r="C744">
        <v>169</v>
      </c>
    </row>
    <row r="745" spans="1:3" x14ac:dyDescent="0.3">
      <c r="A745" s="46">
        <v>43044</v>
      </c>
      <c r="B745" t="s">
        <v>13</v>
      </c>
      <c r="C745">
        <v>89</v>
      </c>
    </row>
    <row r="746" spans="1:3" x14ac:dyDescent="0.3">
      <c r="A746" s="46">
        <v>43042</v>
      </c>
      <c r="B746" t="s">
        <v>5</v>
      </c>
      <c r="C746">
        <v>189</v>
      </c>
    </row>
    <row r="747" spans="1:3" x14ac:dyDescent="0.3">
      <c r="A747" s="46">
        <v>43042</v>
      </c>
      <c r="B747" t="s">
        <v>13</v>
      </c>
      <c r="C747">
        <v>138</v>
      </c>
    </row>
    <row r="748" spans="1:3" x14ac:dyDescent="0.3">
      <c r="A748" s="46">
        <v>43047</v>
      </c>
      <c r="B748" t="s">
        <v>8</v>
      </c>
      <c r="C748">
        <v>6</v>
      </c>
    </row>
    <row r="749" spans="1:3" x14ac:dyDescent="0.3">
      <c r="A749" s="46">
        <v>43042</v>
      </c>
      <c r="B749" t="s">
        <v>13</v>
      </c>
      <c r="C749">
        <v>133</v>
      </c>
    </row>
    <row r="750" spans="1:3" x14ac:dyDescent="0.3">
      <c r="A750" s="46">
        <v>43046</v>
      </c>
      <c r="B750" t="s">
        <v>13</v>
      </c>
      <c r="C750">
        <v>95</v>
      </c>
    </row>
    <row r="751" spans="1:3" x14ac:dyDescent="0.3">
      <c r="A751" s="46">
        <v>43045</v>
      </c>
      <c r="B751" t="s">
        <v>8</v>
      </c>
      <c r="C751">
        <v>133</v>
      </c>
    </row>
    <row r="752" spans="1:3" x14ac:dyDescent="0.3">
      <c r="A752" s="46">
        <v>43047</v>
      </c>
      <c r="B752" t="s">
        <v>7</v>
      </c>
      <c r="C752">
        <v>164</v>
      </c>
    </row>
    <row r="753" spans="1:3" x14ac:dyDescent="0.3">
      <c r="A753" s="46">
        <v>43046</v>
      </c>
      <c r="B753" t="s">
        <v>5</v>
      </c>
      <c r="C753">
        <v>30</v>
      </c>
    </row>
    <row r="754" spans="1:3" x14ac:dyDescent="0.3">
      <c r="A754" s="46">
        <v>43046</v>
      </c>
      <c r="B754" t="s">
        <v>8</v>
      </c>
      <c r="C754">
        <v>113</v>
      </c>
    </row>
    <row r="755" spans="1:3" x14ac:dyDescent="0.3">
      <c r="A755" s="46">
        <v>43043</v>
      </c>
      <c r="B755" t="s">
        <v>7</v>
      </c>
      <c r="C755">
        <v>3</v>
      </c>
    </row>
    <row r="756" spans="1:3" x14ac:dyDescent="0.3">
      <c r="A756" s="46">
        <v>43046</v>
      </c>
      <c r="B756" t="s">
        <v>13</v>
      </c>
      <c r="C756">
        <v>167</v>
      </c>
    </row>
    <row r="757" spans="1:3" x14ac:dyDescent="0.3">
      <c r="A757" s="46">
        <v>43046</v>
      </c>
      <c r="B757" t="s">
        <v>7</v>
      </c>
      <c r="C757">
        <v>148</v>
      </c>
    </row>
    <row r="758" spans="1:3" x14ac:dyDescent="0.3">
      <c r="A758" s="46">
        <v>43042</v>
      </c>
      <c r="B758" t="s">
        <v>13</v>
      </c>
      <c r="C758">
        <v>167</v>
      </c>
    </row>
    <row r="759" spans="1:3" x14ac:dyDescent="0.3">
      <c r="A759" s="46">
        <v>43047</v>
      </c>
      <c r="B759" t="s">
        <v>8</v>
      </c>
      <c r="C759">
        <v>25</v>
      </c>
    </row>
    <row r="760" spans="1:3" x14ac:dyDescent="0.3">
      <c r="A760" s="46">
        <v>43043</v>
      </c>
      <c r="B760" t="s">
        <v>5</v>
      </c>
      <c r="C760">
        <v>130</v>
      </c>
    </row>
    <row r="761" spans="1:3" x14ac:dyDescent="0.3">
      <c r="A761" s="46">
        <v>43043</v>
      </c>
      <c r="B761" t="s">
        <v>13</v>
      </c>
      <c r="C761">
        <v>19</v>
      </c>
    </row>
    <row r="762" spans="1:3" x14ac:dyDescent="0.3">
      <c r="A762" s="46">
        <v>43040</v>
      </c>
      <c r="B762" t="s">
        <v>5</v>
      </c>
      <c r="C762">
        <v>33</v>
      </c>
    </row>
    <row r="763" spans="1:3" x14ac:dyDescent="0.3">
      <c r="A763" s="46">
        <v>43046</v>
      </c>
      <c r="B763" t="s">
        <v>7</v>
      </c>
      <c r="C763">
        <v>86</v>
      </c>
    </row>
    <row r="764" spans="1:3" x14ac:dyDescent="0.3">
      <c r="A764" s="46">
        <v>43047</v>
      </c>
      <c r="B764" t="s">
        <v>13</v>
      </c>
      <c r="C764">
        <v>50</v>
      </c>
    </row>
    <row r="765" spans="1:3" x14ac:dyDescent="0.3">
      <c r="A765" s="46">
        <v>43044</v>
      </c>
      <c r="B765" t="s">
        <v>5</v>
      </c>
      <c r="C765">
        <v>68</v>
      </c>
    </row>
    <row r="766" spans="1:3" x14ac:dyDescent="0.3">
      <c r="A766" s="46">
        <v>43041</v>
      </c>
      <c r="B766" t="s">
        <v>13</v>
      </c>
      <c r="C766">
        <v>77</v>
      </c>
    </row>
    <row r="767" spans="1:3" x14ac:dyDescent="0.3">
      <c r="A767" s="46">
        <v>43042</v>
      </c>
      <c r="B767" t="s">
        <v>7</v>
      </c>
      <c r="C767">
        <v>20</v>
      </c>
    </row>
    <row r="768" spans="1:3" x14ac:dyDescent="0.3">
      <c r="A768" s="46">
        <v>43040</v>
      </c>
      <c r="B768" t="s">
        <v>13</v>
      </c>
      <c r="C768">
        <v>132</v>
      </c>
    </row>
    <row r="769" spans="1:3" x14ac:dyDescent="0.3">
      <c r="A769" s="46">
        <v>43047</v>
      </c>
      <c r="B769" t="s">
        <v>5</v>
      </c>
      <c r="C769">
        <v>4</v>
      </c>
    </row>
    <row r="770" spans="1:3" x14ac:dyDescent="0.3">
      <c r="A770" s="46">
        <v>43045</v>
      </c>
      <c r="B770" t="s">
        <v>5</v>
      </c>
      <c r="C770">
        <v>153</v>
      </c>
    </row>
    <row r="771" spans="1:3" x14ac:dyDescent="0.3">
      <c r="A771" s="46">
        <v>43047</v>
      </c>
      <c r="B771" t="s">
        <v>7</v>
      </c>
      <c r="C771">
        <v>29</v>
      </c>
    </row>
    <row r="772" spans="1:3" x14ac:dyDescent="0.3">
      <c r="A772" s="46">
        <v>43042</v>
      </c>
      <c r="B772" t="s">
        <v>13</v>
      </c>
      <c r="C772">
        <v>98</v>
      </c>
    </row>
    <row r="773" spans="1:3" x14ac:dyDescent="0.3">
      <c r="A773" s="46">
        <v>43046</v>
      </c>
      <c r="B773" t="s">
        <v>8</v>
      </c>
      <c r="C773">
        <v>89</v>
      </c>
    </row>
    <row r="774" spans="1:3" x14ac:dyDescent="0.3">
      <c r="A774" s="46">
        <v>43042</v>
      </c>
      <c r="B774" t="s">
        <v>8</v>
      </c>
      <c r="C774">
        <v>129</v>
      </c>
    </row>
    <row r="775" spans="1:3" x14ac:dyDescent="0.3">
      <c r="A775" s="46">
        <v>43046</v>
      </c>
      <c r="B775" t="s">
        <v>8</v>
      </c>
      <c r="C775">
        <v>165</v>
      </c>
    </row>
    <row r="776" spans="1:3" x14ac:dyDescent="0.3">
      <c r="A776" s="46">
        <v>43043</v>
      </c>
      <c r="B776" t="s">
        <v>13</v>
      </c>
      <c r="C776">
        <v>169</v>
      </c>
    </row>
    <row r="777" spans="1:3" x14ac:dyDescent="0.3">
      <c r="A777" s="46">
        <v>43040</v>
      </c>
      <c r="B777" t="s">
        <v>5</v>
      </c>
      <c r="C777">
        <v>191</v>
      </c>
    </row>
    <row r="778" spans="1:3" x14ac:dyDescent="0.3">
      <c r="A778" s="46">
        <v>43047</v>
      </c>
      <c r="B778" t="s">
        <v>8</v>
      </c>
      <c r="C778">
        <v>120</v>
      </c>
    </row>
    <row r="779" spans="1:3" x14ac:dyDescent="0.3">
      <c r="A779" s="46">
        <v>43046</v>
      </c>
      <c r="B779" t="s">
        <v>13</v>
      </c>
      <c r="C779">
        <v>188</v>
      </c>
    </row>
    <row r="780" spans="1:3" x14ac:dyDescent="0.3">
      <c r="A780" s="46">
        <v>43045</v>
      </c>
      <c r="B780" t="s">
        <v>5</v>
      </c>
      <c r="C780">
        <v>101</v>
      </c>
    </row>
    <row r="781" spans="1:3" x14ac:dyDescent="0.3">
      <c r="A781" s="46">
        <v>43044</v>
      </c>
      <c r="B781" t="s">
        <v>7</v>
      </c>
      <c r="C781">
        <v>73</v>
      </c>
    </row>
    <row r="782" spans="1:3" x14ac:dyDescent="0.3">
      <c r="A782" s="46">
        <v>43046</v>
      </c>
      <c r="B782" t="s">
        <v>5</v>
      </c>
      <c r="C782">
        <v>139</v>
      </c>
    </row>
    <row r="783" spans="1:3" x14ac:dyDescent="0.3">
      <c r="A783" s="46">
        <v>43042</v>
      </c>
      <c r="B783" t="s">
        <v>5</v>
      </c>
      <c r="C783">
        <v>168</v>
      </c>
    </row>
    <row r="784" spans="1:3" x14ac:dyDescent="0.3">
      <c r="A784" s="46">
        <v>43046</v>
      </c>
      <c r="B784" t="s">
        <v>13</v>
      </c>
      <c r="C784">
        <v>150</v>
      </c>
    </row>
    <row r="785" spans="1:3" x14ac:dyDescent="0.3">
      <c r="A785" s="46">
        <v>43046</v>
      </c>
      <c r="B785" t="s">
        <v>7</v>
      </c>
      <c r="C785">
        <v>24</v>
      </c>
    </row>
    <row r="786" spans="1:3" x14ac:dyDescent="0.3">
      <c r="A786" s="46">
        <v>43045</v>
      </c>
      <c r="B786" t="s">
        <v>5</v>
      </c>
      <c r="C786">
        <v>94</v>
      </c>
    </row>
    <row r="787" spans="1:3" x14ac:dyDescent="0.3">
      <c r="A787" s="46">
        <v>43040</v>
      </c>
      <c r="B787" t="s">
        <v>8</v>
      </c>
      <c r="C787">
        <v>171</v>
      </c>
    </row>
    <row r="788" spans="1:3" x14ac:dyDescent="0.3">
      <c r="A788" s="46">
        <v>43044</v>
      </c>
      <c r="B788" t="s">
        <v>13</v>
      </c>
      <c r="C788">
        <v>119</v>
      </c>
    </row>
    <row r="789" spans="1:3" x14ac:dyDescent="0.3">
      <c r="A789" s="46">
        <v>43047</v>
      </c>
      <c r="B789" t="s">
        <v>5</v>
      </c>
      <c r="C789">
        <v>157</v>
      </c>
    </row>
    <row r="790" spans="1:3" x14ac:dyDescent="0.3">
      <c r="A790" s="46">
        <v>43045</v>
      </c>
      <c r="B790" t="s">
        <v>13</v>
      </c>
      <c r="C790">
        <v>46</v>
      </c>
    </row>
    <row r="791" spans="1:3" x14ac:dyDescent="0.3">
      <c r="A791" s="46">
        <v>43047</v>
      </c>
      <c r="B791" t="s">
        <v>13</v>
      </c>
      <c r="C791">
        <v>191</v>
      </c>
    </row>
    <row r="792" spans="1:3" x14ac:dyDescent="0.3">
      <c r="A792" s="46">
        <v>43040</v>
      </c>
      <c r="B792" t="s">
        <v>5</v>
      </c>
      <c r="C792">
        <v>83</v>
      </c>
    </row>
    <row r="793" spans="1:3" x14ac:dyDescent="0.3">
      <c r="A793" s="46">
        <v>43042</v>
      </c>
      <c r="B793" t="s">
        <v>13</v>
      </c>
      <c r="C793">
        <v>106</v>
      </c>
    </row>
    <row r="794" spans="1:3" x14ac:dyDescent="0.3">
      <c r="A794" s="46">
        <v>43046</v>
      </c>
      <c r="B794" t="s">
        <v>5</v>
      </c>
      <c r="C794">
        <v>53</v>
      </c>
    </row>
    <row r="795" spans="1:3" x14ac:dyDescent="0.3">
      <c r="A795" s="46">
        <v>43046</v>
      </c>
      <c r="B795" t="s">
        <v>8</v>
      </c>
      <c r="C795">
        <v>178</v>
      </c>
    </row>
    <row r="796" spans="1:3" x14ac:dyDescent="0.3">
      <c r="A796" s="46">
        <v>43044</v>
      </c>
      <c r="B796" t="s">
        <v>13</v>
      </c>
      <c r="C796">
        <v>134</v>
      </c>
    </row>
    <row r="797" spans="1:3" x14ac:dyDescent="0.3">
      <c r="A797" s="46">
        <v>43045</v>
      </c>
      <c r="B797" t="s">
        <v>8</v>
      </c>
      <c r="C797">
        <v>74</v>
      </c>
    </row>
    <row r="798" spans="1:3" x14ac:dyDescent="0.3">
      <c r="A798" s="46">
        <v>43040</v>
      </c>
      <c r="B798" t="s">
        <v>8</v>
      </c>
      <c r="C798">
        <v>38</v>
      </c>
    </row>
    <row r="799" spans="1:3" x14ac:dyDescent="0.3">
      <c r="A799" s="46">
        <v>43043</v>
      </c>
      <c r="B799" t="s">
        <v>5</v>
      </c>
      <c r="C799">
        <v>185</v>
      </c>
    </row>
    <row r="800" spans="1:3" x14ac:dyDescent="0.3">
      <c r="A800" s="46">
        <v>43042</v>
      </c>
      <c r="B800" t="s">
        <v>13</v>
      </c>
      <c r="C800">
        <v>145</v>
      </c>
    </row>
    <row r="801" spans="1:3" x14ac:dyDescent="0.3">
      <c r="A801" s="46">
        <v>43046</v>
      </c>
      <c r="B801" t="s">
        <v>8</v>
      </c>
      <c r="C801">
        <v>119</v>
      </c>
    </row>
    <row r="802" spans="1:3" x14ac:dyDescent="0.3">
      <c r="A802" s="46">
        <v>43045</v>
      </c>
      <c r="B802" t="s">
        <v>8</v>
      </c>
      <c r="C802">
        <v>178</v>
      </c>
    </row>
    <row r="803" spans="1:3" x14ac:dyDescent="0.3">
      <c r="A803" s="46">
        <v>43041</v>
      </c>
      <c r="B803" t="s">
        <v>13</v>
      </c>
      <c r="C803">
        <v>171</v>
      </c>
    </row>
    <row r="804" spans="1:3" x14ac:dyDescent="0.3">
      <c r="A804" s="46">
        <v>43040</v>
      </c>
      <c r="B804" t="s">
        <v>13</v>
      </c>
      <c r="C804">
        <v>33</v>
      </c>
    </row>
    <row r="805" spans="1:3" x14ac:dyDescent="0.3">
      <c r="A805" s="46">
        <v>43044</v>
      </c>
      <c r="B805" t="s">
        <v>7</v>
      </c>
      <c r="C805">
        <v>32</v>
      </c>
    </row>
    <row r="806" spans="1:3" x14ac:dyDescent="0.3">
      <c r="A806" s="46">
        <v>43045</v>
      </c>
      <c r="B806" t="s">
        <v>5</v>
      </c>
      <c r="C806">
        <v>24</v>
      </c>
    </row>
    <row r="807" spans="1:3" x14ac:dyDescent="0.3">
      <c r="A807" s="46">
        <v>43043</v>
      </c>
      <c r="B807" t="s">
        <v>5</v>
      </c>
      <c r="C807">
        <v>166</v>
      </c>
    </row>
    <row r="808" spans="1:3" x14ac:dyDescent="0.3">
      <c r="A808" s="46">
        <v>43043</v>
      </c>
      <c r="B808" t="s">
        <v>7</v>
      </c>
      <c r="C808">
        <v>107</v>
      </c>
    </row>
    <row r="809" spans="1:3" x14ac:dyDescent="0.3">
      <c r="A809" s="46">
        <v>43040</v>
      </c>
      <c r="B809" t="s">
        <v>7</v>
      </c>
      <c r="C809">
        <v>179</v>
      </c>
    </row>
    <row r="810" spans="1:3" x14ac:dyDescent="0.3">
      <c r="A810" s="46">
        <v>43043</v>
      </c>
      <c r="B810" t="s">
        <v>7</v>
      </c>
      <c r="C810">
        <v>164</v>
      </c>
    </row>
    <row r="811" spans="1:3" x14ac:dyDescent="0.3">
      <c r="A811" s="46">
        <v>43045</v>
      </c>
      <c r="B811" t="s">
        <v>8</v>
      </c>
      <c r="C811">
        <v>175</v>
      </c>
    </row>
    <row r="812" spans="1:3" x14ac:dyDescent="0.3">
      <c r="A812" s="46">
        <v>43043</v>
      </c>
      <c r="B812" t="s">
        <v>5</v>
      </c>
      <c r="C812">
        <v>55</v>
      </c>
    </row>
    <row r="813" spans="1:3" x14ac:dyDescent="0.3">
      <c r="A813" s="46">
        <v>43046</v>
      </c>
      <c r="B813" t="s">
        <v>8</v>
      </c>
      <c r="C813">
        <v>165</v>
      </c>
    </row>
    <row r="814" spans="1:3" x14ac:dyDescent="0.3">
      <c r="A814" s="46">
        <v>43047</v>
      </c>
      <c r="B814" t="s">
        <v>5</v>
      </c>
      <c r="C814">
        <v>142</v>
      </c>
    </row>
    <row r="815" spans="1:3" x14ac:dyDescent="0.3">
      <c r="A815" s="46">
        <v>43041</v>
      </c>
      <c r="B815" t="s">
        <v>8</v>
      </c>
      <c r="C815">
        <v>67</v>
      </c>
    </row>
    <row r="816" spans="1:3" x14ac:dyDescent="0.3">
      <c r="A816" s="46">
        <v>43046</v>
      </c>
      <c r="B816" t="s">
        <v>8</v>
      </c>
      <c r="C816">
        <v>73</v>
      </c>
    </row>
    <row r="817" spans="1:3" x14ac:dyDescent="0.3">
      <c r="A817" s="46">
        <v>43044</v>
      </c>
      <c r="B817" t="s">
        <v>13</v>
      </c>
      <c r="C817">
        <v>21</v>
      </c>
    </row>
    <row r="818" spans="1:3" x14ac:dyDescent="0.3">
      <c r="A818" s="46">
        <v>43047</v>
      </c>
      <c r="B818" t="s">
        <v>8</v>
      </c>
      <c r="C818">
        <v>40</v>
      </c>
    </row>
    <row r="819" spans="1:3" x14ac:dyDescent="0.3">
      <c r="A819" s="46">
        <v>43042</v>
      </c>
      <c r="B819" t="s">
        <v>13</v>
      </c>
      <c r="C819">
        <v>175</v>
      </c>
    </row>
    <row r="820" spans="1:3" x14ac:dyDescent="0.3">
      <c r="A820" s="46">
        <v>43040</v>
      </c>
      <c r="B820" t="s">
        <v>5</v>
      </c>
      <c r="C820">
        <v>187</v>
      </c>
    </row>
    <row r="821" spans="1:3" x14ac:dyDescent="0.3">
      <c r="A821" s="46">
        <v>43045</v>
      </c>
      <c r="B821" t="s">
        <v>13</v>
      </c>
      <c r="C821">
        <v>167</v>
      </c>
    </row>
    <row r="822" spans="1:3" x14ac:dyDescent="0.3">
      <c r="A822" s="46">
        <v>43046</v>
      </c>
      <c r="B822" t="s">
        <v>5</v>
      </c>
      <c r="C822">
        <v>70</v>
      </c>
    </row>
    <row r="823" spans="1:3" x14ac:dyDescent="0.3">
      <c r="A823" s="46">
        <v>43043</v>
      </c>
      <c r="B823" t="s">
        <v>5</v>
      </c>
      <c r="C823">
        <v>72</v>
      </c>
    </row>
    <row r="824" spans="1:3" x14ac:dyDescent="0.3">
      <c r="A824" s="46">
        <v>43047</v>
      </c>
      <c r="B824" t="s">
        <v>8</v>
      </c>
      <c r="C824">
        <v>103</v>
      </c>
    </row>
    <row r="825" spans="1:3" x14ac:dyDescent="0.3">
      <c r="A825" s="46">
        <v>43044</v>
      </c>
      <c r="B825" t="s">
        <v>5</v>
      </c>
      <c r="C825">
        <v>88</v>
      </c>
    </row>
    <row r="826" spans="1:3" x14ac:dyDescent="0.3">
      <c r="A826" s="46">
        <v>43043</v>
      </c>
      <c r="B826" t="s">
        <v>5</v>
      </c>
      <c r="C826">
        <v>134</v>
      </c>
    </row>
    <row r="827" spans="1:3" x14ac:dyDescent="0.3">
      <c r="A827" s="46">
        <v>43045</v>
      </c>
      <c r="B827" t="s">
        <v>8</v>
      </c>
      <c r="C827">
        <v>40</v>
      </c>
    </row>
    <row r="828" spans="1:3" x14ac:dyDescent="0.3">
      <c r="A828" s="46">
        <v>43041</v>
      </c>
      <c r="B828" t="s">
        <v>13</v>
      </c>
      <c r="C828">
        <v>19</v>
      </c>
    </row>
    <row r="829" spans="1:3" x14ac:dyDescent="0.3">
      <c r="A829" s="46">
        <v>43043</v>
      </c>
      <c r="B829" t="s">
        <v>8</v>
      </c>
      <c r="C829">
        <v>6</v>
      </c>
    </row>
    <row r="830" spans="1:3" x14ac:dyDescent="0.3">
      <c r="A830" s="46">
        <v>43044</v>
      </c>
      <c r="B830" t="s">
        <v>8</v>
      </c>
      <c r="C830">
        <v>93</v>
      </c>
    </row>
    <row r="831" spans="1:3" x14ac:dyDescent="0.3">
      <c r="A831" s="46">
        <v>43045</v>
      </c>
      <c r="B831" t="s">
        <v>8</v>
      </c>
      <c r="C831">
        <v>147</v>
      </c>
    </row>
    <row r="832" spans="1:3" x14ac:dyDescent="0.3">
      <c r="A832" s="46">
        <v>43046</v>
      </c>
      <c r="B832" t="s">
        <v>13</v>
      </c>
      <c r="C832">
        <v>37</v>
      </c>
    </row>
    <row r="833" spans="1:3" x14ac:dyDescent="0.3">
      <c r="A833" s="46">
        <v>43045</v>
      </c>
      <c r="B833" t="s">
        <v>13</v>
      </c>
      <c r="C833">
        <v>8</v>
      </c>
    </row>
    <row r="834" spans="1:3" x14ac:dyDescent="0.3">
      <c r="A834" s="46">
        <v>43044</v>
      </c>
      <c r="B834" t="s">
        <v>7</v>
      </c>
      <c r="C834">
        <v>137</v>
      </c>
    </row>
    <row r="835" spans="1:3" x14ac:dyDescent="0.3">
      <c r="A835" s="46">
        <v>43041</v>
      </c>
      <c r="B835" t="s">
        <v>13</v>
      </c>
      <c r="C835">
        <v>100</v>
      </c>
    </row>
    <row r="836" spans="1:3" x14ac:dyDescent="0.3">
      <c r="A836" s="46">
        <v>43045</v>
      </c>
      <c r="B836" t="s">
        <v>5</v>
      </c>
      <c r="C836">
        <v>143</v>
      </c>
    </row>
    <row r="837" spans="1:3" x14ac:dyDescent="0.3">
      <c r="A837" s="46">
        <v>43046</v>
      </c>
      <c r="B837" t="s">
        <v>13</v>
      </c>
      <c r="C837">
        <v>99</v>
      </c>
    </row>
    <row r="838" spans="1:3" x14ac:dyDescent="0.3">
      <c r="A838" s="46">
        <v>43046</v>
      </c>
      <c r="B838" t="s">
        <v>7</v>
      </c>
      <c r="C838">
        <v>171</v>
      </c>
    </row>
    <row r="839" spans="1:3" x14ac:dyDescent="0.3">
      <c r="A839" s="46">
        <v>43047</v>
      </c>
      <c r="B839" t="s">
        <v>13</v>
      </c>
      <c r="C839">
        <v>30</v>
      </c>
    </row>
    <row r="840" spans="1:3" x14ac:dyDescent="0.3">
      <c r="A840" s="46">
        <v>43046</v>
      </c>
      <c r="B840" t="s">
        <v>13</v>
      </c>
      <c r="C840">
        <v>145</v>
      </c>
    </row>
    <row r="841" spans="1:3" x14ac:dyDescent="0.3">
      <c r="A841" s="46">
        <v>43041</v>
      </c>
      <c r="B841" t="s">
        <v>8</v>
      </c>
      <c r="C841">
        <v>125</v>
      </c>
    </row>
    <row r="842" spans="1:3" x14ac:dyDescent="0.3">
      <c r="A842" s="46">
        <v>43042</v>
      </c>
      <c r="B842" t="s">
        <v>13</v>
      </c>
      <c r="C842">
        <v>25</v>
      </c>
    </row>
    <row r="843" spans="1:3" x14ac:dyDescent="0.3">
      <c r="A843" s="46">
        <v>43045</v>
      </c>
      <c r="B843" t="s">
        <v>5</v>
      </c>
      <c r="C843">
        <v>126</v>
      </c>
    </row>
    <row r="844" spans="1:3" x14ac:dyDescent="0.3">
      <c r="A844" s="46">
        <v>43045</v>
      </c>
      <c r="B844" t="s">
        <v>13</v>
      </c>
      <c r="C844">
        <v>18</v>
      </c>
    </row>
    <row r="845" spans="1:3" x14ac:dyDescent="0.3">
      <c r="A845" s="46">
        <v>43044</v>
      </c>
      <c r="B845" t="s">
        <v>5</v>
      </c>
      <c r="C845">
        <v>161</v>
      </c>
    </row>
    <row r="846" spans="1:3" x14ac:dyDescent="0.3">
      <c r="A846" s="46">
        <v>43043</v>
      </c>
      <c r="B846" t="s">
        <v>13</v>
      </c>
      <c r="C846">
        <v>166</v>
      </c>
    </row>
    <row r="847" spans="1:3" x14ac:dyDescent="0.3">
      <c r="A847" s="46">
        <v>43042</v>
      </c>
      <c r="B847" t="s">
        <v>5</v>
      </c>
      <c r="C847">
        <v>29</v>
      </c>
    </row>
    <row r="848" spans="1:3" x14ac:dyDescent="0.3">
      <c r="A848" s="46">
        <v>43041</v>
      </c>
      <c r="B848" t="s">
        <v>7</v>
      </c>
      <c r="C848">
        <v>63</v>
      </c>
    </row>
    <row r="849" spans="1:3" x14ac:dyDescent="0.3">
      <c r="A849" s="46">
        <v>43043</v>
      </c>
      <c r="B849" t="s">
        <v>7</v>
      </c>
      <c r="C849">
        <v>11</v>
      </c>
    </row>
    <row r="850" spans="1:3" x14ac:dyDescent="0.3">
      <c r="A850" s="46">
        <v>43044</v>
      </c>
      <c r="B850" t="s">
        <v>8</v>
      </c>
      <c r="C850">
        <v>157</v>
      </c>
    </row>
    <row r="851" spans="1:3" x14ac:dyDescent="0.3">
      <c r="A851" s="46">
        <v>43042</v>
      </c>
      <c r="B851" t="s">
        <v>13</v>
      </c>
      <c r="C851">
        <v>12</v>
      </c>
    </row>
    <row r="852" spans="1:3" x14ac:dyDescent="0.3">
      <c r="A852" s="46">
        <v>43045</v>
      </c>
      <c r="B852" t="s">
        <v>8</v>
      </c>
      <c r="C852">
        <v>71</v>
      </c>
    </row>
    <row r="853" spans="1:3" x14ac:dyDescent="0.3">
      <c r="A853" s="46">
        <v>43043</v>
      </c>
      <c r="B853" t="s">
        <v>5</v>
      </c>
      <c r="C853">
        <v>153</v>
      </c>
    </row>
    <row r="854" spans="1:3" x14ac:dyDescent="0.3">
      <c r="A854" s="46">
        <v>43044</v>
      </c>
      <c r="B854" t="s">
        <v>7</v>
      </c>
      <c r="C854">
        <v>95</v>
      </c>
    </row>
    <row r="855" spans="1:3" x14ac:dyDescent="0.3">
      <c r="A855" s="46">
        <v>43044</v>
      </c>
      <c r="B855" t="s">
        <v>7</v>
      </c>
      <c r="C855">
        <v>31</v>
      </c>
    </row>
    <row r="856" spans="1:3" x14ac:dyDescent="0.3">
      <c r="A856" s="46">
        <v>43044</v>
      </c>
      <c r="B856" t="s">
        <v>5</v>
      </c>
      <c r="C856">
        <v>47</v>
      </c>
    </row>
    <row r="857" spans="1:3" x14ac:dyDescent="0.3">
      <c r="A857" s="46">
        <v>43044</v>
      </c>
      <c r="B857" t="s">
        <v>5</v>
      </c>
      <c r="C857">
        <v>147</v>
      </c>
    </row>
    <row r="858" spans="1:3" x14ac:dyDescent="0.3">
      <c r="A858" s="46">
        <v>43047</v>
      </c>
      <c r="B858" t="s">
        <v>13</v>
      </c>
      <c r="C858">
        <v>135</v>
      </c>
    </row>
    <row r="859" spans="1:3" x14ac:dyDescent="0.3">
      <c r="A859" s="46">
        <v>43040</v>
      </c>
      <c r="B859" t="s">
        <v>13</v>
      </c>
      <c r="C859">
        <v>78</v>
      </c>
    </row>
    <row r="860" spans="1:3" x14ac:dyDescent="0.3">
      <c r="A860" s="46">
        <v>43046</v>
      </c>
      <c r="B860" t="s">
        <v>13</v>
      </c>
      <c r="C860">
        <v>94</v>
      </c>
    </row>
    <row r="861" spans="1:3" x14ac:dyDescent="0.3">
      <c r="A861" s="46">
        <v>43040</v>
      </c>
      <c r="B861" t="s">
        <v>8</v>
      </c>
      <c r="C861">
        <v>97</v>
      </c>
    </row>
    <row r="862" spans="1:3" x14ac:dyDescent="0.3">
      <c r="A862" s="46">
        <v>43045</v>
      </c>
      <c r="B862" t="s">
        <v>7</v>
      </c>
      <c r="C862">
        <v>170</v>
      </c>
    </row>
    <row r="863" spans="1:3" x14ac:dyDescent="0.3">
      <c r="A863" s="46">
        <v>43046</v>
      </c>
      <c r="B863" t="s">
        <v>7</v>
      </c>
      <c r="C863">
        <v>100</v>
      </c>
    </row>
    <row r="864" spans="1:3" x14ac:dyDescent="0.3">
      <c r="A864" s="46">
        <v>43041</v>
      </c>
      <c r="B864" t="s">
        <v>13</v>
      </c>
      <c r="C864">
        <v>57</v>
      </c>
    </row>
    <row r="865" spans="1:3" x14ac:dyDescent="0.3">
      <c r="A865" s="46">
        <v>43044</v>
      </c>
      <c r="B865" t="s">
        <v>5</v>
      </c>
      <c r="C865">
        <v>133</v>
      </c>
    </row>
    <row r="866" spans="1:3" x14ac:dyDescent="0.3">
      <c r="A866" s="46">
        <v>43045</v>
      </c>
      <c r="B866" t="s">
        <v>8</v>
      </c>
      <c r="C866">
        <v>176</v>
      </c>
    </row>
    <row r="867" spans="1:3" x14ac:dyDescent="0.3">
      <c r="A867" s="46">
        <v>43041</v>
      </c>
      <c r="B867" t="s">
        <v>13</v>
      </c>
      <c r="C867">
        <v>165</v>
      </c>
    </row>
    <row r="868" spans="1:3" x14ac:dyDescent="0.3">
      <c r="A868" s="46">
        <v>43040</v>
      </c>
      <c r="B868" t="s">
        <v>8</v>
      </c>
      <c r="C868">
        <v>182</v>
      </c>
    </row>
    <row r="869" spans="1:3" x14ac:dyDescent="0.3">
      <c r="A869" s="46">
        <v>43043</v>
      </c>
      <c r="B869" t="s">
        <v>7</v>
      </c>
      <c r="C869">
        <v>72</v>
      </c>
    </row>
    <row r="870" spans="1:3" x14ac:dyDescent="0.3">
      <c r="A870" s="46">
        <v>43045</v>
      </c>
      <c r="B870" t="s">
        <v>7</v>
      </c>
      <c r="C870">
        <v>45</v>
      </c>
    </row>
    <row r="871" spans="1:3" x14ac:dyDescent="0.3">
      <c r="A871" s="46">
        <v>43047</v>
      </c>
      <c r="B871" t="s">
        <v>5</v>
      </c>
      <c r="C871">
        <v>52</v>
      </c>
    </row>
    <row r="872" spans="1:3" x14ac:dyDescent="0.3">
      <c r="A872" s="46">
        <v>43047</v>
      </c>
      <c r="B872" t="s">
        <v>8</v>
      </c>
      <c r="C872">
        <v>10</v>
      </c>
    </row>
    <row r="873" spans="1:3" x14ac:dyDescent="0.3">
      <c r="A873" s="46">
        <v>43046</v>
      </c>
      <c r="B873" t="s">
        <v>13</v>
      </c>
      <c r="C873">
        <v>167</v>
      </c>
    </row>
    <row r="874" spans="1:3" x14ac:dyDescent="0.3">
      <c r="A874" s="46">
        <v>43041</v>
      </c>
      <c r="B874" t="s">
        <v>13</v>
      </c>
      <c r="C874">
        <v>49</v>
      </c>
    </row>
    <row r="875" spans="1:3" x14ac:dyDescent="0.3">
      <c r="A875" s="46">
        <v>43044</v>
      </c>
      <c r="B875" t="s">
        <v>8</v>
      </c>
      <c r="C875">
        <v>51</v>
      </c>
    </row>
    <row r="876" spans="1:3" x14ac:dyDescent="0.3">
      <c r="A876" s="46">
        <v>43044</v>
      </c>
      <c r="B876" t="s">
        <v>8</v>
      </c>
      <c r="C876">
        <v>146</v>
      </c>
    </row>
    <row r="877" spans="1:3" x14ac:dyDescent="0.3">
      <c r="A877" s="46">
        <v>43043</v>
      </c>
      <c r="B877" t="s">
        <v>7</v>
      </c>
      <c r="C877">
        <v>138</v>
      </c>
    </row>
    <row r="878" spans="1:3" x14ac:dyDescent="0.3">
      <c r="A878" s="46">
        <v>43047</v>
      </c>
      <c r="B878" t="s">
        <v>7</v>
      </c>
      <c r="C878">
        <v>162</v>
      </c>
    </row>
    <row r="879" spans="1:3" x14ac:dyDescent="0.3">
      <c r="A879" s="46">
        <v>43046</v>
      </c>
      <c r="B879" t="s">
        <v>8</v>
      </c>
      <c r="C879">
        <v>134</v>
      </c>
    </row>
    <row r="880" spans="1:3" x14ac:dyDescent="0.3">
      <c r="A880" s="46">
        <v>43046</v>
      </c>
      <c r="B880" t="s">
        <v>7</v>
      </c>
      <c r="C880">
        <v>177</v>
      </c>
    </row>
    <row r="881" spans="1:3" x14ac:dyDescent="0.3">
      <c r="A881" s="46">
        <v>43046</v>
      </c>
      <c r="B881" t="s">
        <v>13</v>
      </c>
      <c r="C881">
        <v>131</v>
      </c>
    </row>
    <row r="882" spans="1:3" x14ac:dyDescent="0.3">
      <c r="A882" s="46">
        <v>43045</v>
      </c>
      <c r="B882" t="s">
        <v>13</v>
      </c>
      <c r="C882">
        <v>97</v>
      </c>
    </row>
    <row r="883" spans="1:3" x14ac:dyDescent="0.3">
      <c r="A883" s="46">
        <v>43040</v>
      </c>
      <c r="B883" t="s">
        <v>8</v>
      </c>
      <c r="C883">
        <v>67</v>
      </c>
    </row>
    <row r="884" spans="1:3" x14ac:dyDescent="0.3">
      <c r="A884" s="46">
        <v>43047</v>
      </c>
      <c r="B884" t="s">
        <v>8</v>
      </c>
      <c r="C884">
        <v>91</v>
      </c>
    </row>
    <row r="885" spans="1:3" x14ac:dyDescent="0.3">
      <c r="A885" s="46">
        <v>43045</v>
      </c>
      <c r="B885" t="s">
        <v>7</v>
      </c>
      <c r="C885">
        <v>24</v>
      </c>
    </row>
    <row r="886" spans="1:3" x14ac:dyDescent="0.3">
      <c r="A886" s="46">
        <v>43047</v>
      </c>
      <c r="B886" t="s">
        <v>8</v>
      </c>
      <c r="C886">
        <v>84</v>
      </c>
    </row>
    <row r="887" spans="1:3" x14ac:dyDescent="0.3">
      <c r="A887" s="46">
        <v>43042</v>
      </c>
      <c r="B887" t="s">
        <v>7</v>
      </c>
      <c r="C887">
        <v>137</v>
      </c>
    </row>
    <row r="888" spans="1:3" x14ac:dyDescent="0.3">
      <c r="A888" s="46">
        <v>43045</v>
      </c>
      <c r="B888" t="s">
        <v>8</v>
      </c>
      <c r="C888">
        <v>176</v>
      </c>
    </row>
    <row r="889" spans="1:3" x14ac:dyDescent="0.3">
      <c r="A889" s="46">
        <v>43045</v>
      </c>
      <c r="B889" t="s">
        <v>13</v>
      </c>
      <c r="C889">
        <v>30</v>
      </c>
    </row>
    <row r="890" spans="1:3" x14ac:dyDescent="0.3">
      <c r="A890" s="46">
        <v>43042</v>
      </c>
      <c r="B890" t="s">
        <v>7</v>
      </c>
      <c r="C890">
        <v>7</v>
      </c>
    </row>
    <row r="891" spans="1:3" x14ac:dyDescent="0.3">
      <c r="A891" s="46">
        <v>43046</v>
      </c>
      <c r="B891" t="s">
        <v>8</v>
      </c>
      <c r="C891">
        <v>168</v>
      </c>
    </row>
    <row r="892" spans="1:3" x14ac:dyDescent="0.3">
      <c r="A892" s="46">
        <v>43045</v>
      </c>
      <c r="B892" t="s">
        <v>5</v>
      </c>
      <c r="C892">
        <v>23</v>
      </c>
    </row>
    <row r="893" spans="1:3" x14ac:dyDescent="0.3">
      <c r="A893" s="46">
        <v>43040</v>
      </c>
      <c r="B893" t="s">
        <v>13</v>
      </c>
      <c r="C893">
        <v>109</v>
      </c>
    </row>
    <row r="894" spans="1:3" x14ac:dyDescent="0.3">
      <c r="A894" s="46">
        <v>43043</v>
      </c>
      <c r="B894" t="s">
        <v>8</v>
      </c>
      <c r="C894">
        <v>45</v>
      </c>
    </row>
    <row r="895" spans="1:3" x14ac:dyDescent="0.3">
      <c r="A895" s="46">
        <v>43040</v>
      </c>
      <c r="B895" t="s">
        <v>5</v>
      </c>
      <c r="C895">
        <v>86</v>
      </c>
    </row>
    <row r="896" spans="1:3" x14ac:dyDescent="0.3">
      <c r="A896" s="46">
        <v>43043</v>
      </c>
      <c r="B896" t="s">
        <v>8</v>
      </c>
      <c r="C896">
        <v>130</v>
      </c>
    </row>
    <row r="897" spans="1:3" x14ac:dyDescent="0.3">
      <c r="A897" s="46">
        <v>43041</v>
      </c>
      <c r="B897" t="s">
        <v>8</v>
      </c>
      <c r="C897">
        <v>61</v>
      </c>
    </row>
    <row r="898" spans="1:3" x14ac:dyDescent="0.3">
      <c r="A898" s="46">
        <v>43044</v>
      </c>
      <c r="B898" t="s">
        <v>8</v>
      </c>
      <c r="C898">
        <v>134</v>
      </c>
    </row>
    <row r="899" spans="1:3" x14ac:dyDescent="0.3">
      <c r="A899" s="46">
        <v>43047</v>
      </c>
      <c r="B899" t="s">
        <v>5</v>
      </c>
      <c r="C899">
        <v>62</v>
      </c>
    </row>
    <row r="900" spans="1:3" x14ac:dyDescent="0.3">
      <c r="A900" s="46">
        <v>43044</v>
      </c>
      <c r="B900" t="s">
        <v>7</v>
      </c>
      <c r="C900">
        <v>85</v>
      </c>
    </row>
    <row r="901" spans="1:3" x14ac:dyDescent="0.3">
      <c r="A901" s="46">
        <v>43042</v>
      </c>
      <c r="B901" t="s">
        <v>13</v>
      </c>
      <c r="C901">
        <v>22</v>
      </c>
    </row>
    <row r="902" spans="1:3" x14ac:dyDescent="0.3">
      <c r="A902" s="46">
        <v>43040</v>
      </c>
      <c r="B902" t="s">
        <v>7</v>
      </c>
      <c r="C902">
        <v>2</v>
      </c>
    </row>
    <row r="903" spans="1:3" x14ac:dyDescent="0.3">
      <c r="A903" s="46">
        <v>43047</v>
      </c>
      <c r="B903" t="s">
        <v>5</v>
      </c>
      <c r="C903">
        <v>89</v>
      </c>
    </row>
    <row r="904" spans="1:3" x14ac:dyDescent="0.3">
      <c r="A904" s="46">
        <v>43044</v>
      </c>
      <c r="B904" t="s">
        <v>5</v>
      </c>
      <c r="C904">
        <v>142</v>
      </c>
    </row>
    <row r="905" spans="1:3" x14ac:dyDescent="0.3">
      <c r="A905" s="46">
        <v>43040</v>
      </c>
      <c r="B905" t="s">
        <v>13</v>
      </c>
      <c r="C905">
        <v>182</v>
      </c>
    </row>
    <row r="906" spans="1:3" x14ac:dyDescent="0.3">
      <c r="A906" s="46">
        <v>43043</v>
      </c>
      <c r="B906" t="s">
        <v>5</v>
      </c>
      <c r="C906">
        <v>165</v>
      </c>
    </row>
    <row r="907" spans="1:3" x14ac:dyDescent="0.3">
      <c r="A907" s="46">
        <v>43040</v>
      </c>
      <c r="B907" t="s">
        <v>5</v>
      </c>
      <c r="C907">
        <v>128</v>
      </c>
    </row>
    <row r="908" spans="1:3" x14ac:dyDescent="0.3">
      <c r="A908" s="46">
        <v>43042</v>
      </c>
      <c r="B908" t="s">
        <v>7</v>
      </c>
      <c r="C908">
        <v>180</v>
      </c>
    </row>
    <row r="909" spans="1:3" x14ac:dyDescent="0.3">
      <c r="A909" s="46">
        <v>43040</v>
      </c>
      <c r="B909" t="s">
        <v>8</v>
      </c>
      <c r="C909">
        <v>89</v>
      </c>
    </row>
    <row r="910" spans="1:3" x14ac:dyDescent="0.3">
      <c r="A910" s="46">
        <v>43045</v>
      </c>
      <c r="B910" t="s">
        <v>5</v>
      </c>
      <c r="C910">
        <v>134</v>
      </c>
    </row>
    <row r="911" spans="1:3" x14ac:dyDescent="0.3">
      <c r="A911" s="46">
        <v>43043</v>
      </c>
      <c r="B911" t="s">
        <v>7</v>
      </c>
      <c r="C911">
        <v>191</v>
      </c>
    </row>
    <row r="912" spans="1:3" x14ac:dyDescent="0.3">
      <c r="A912" s="46">
        <v>43041</v>
      </c>
      <c r="B912" t="s">
        <v>13</v>
      </c>
      <c r="C912">
        <v>191</v>
      </c>
    </row>
    <row r="913" spans="1:3" x14ac:dyDescent="0.3">
      <c r="A913" s="46">
        <v>43046</v>
      </c>
      <c r="B913" t="s">
        <v>13</v>
      </c>
      <c r="C913">
        <v>81</v>
      </c>
    </row>
    <row r="914" spans="1:3" x14ac:dyDescent="0.3">
      <c r="A914" s="46">
        <v>43044</v>
      </c>
      <c r="B914" t="s">
        <v>8</v>
      </c>
      <c r="C914">
        <v>164</v>
      </c>
    </row>
    <row r="915" spans="1:3" x14ac:dyDescent="0.3">
      <c r="A915" s="46">
        <v>43043</v>
      </c>
      <c r="B915" t="s">
        <v>7</v>
      </c>
      <c r="C915">
        <v>65</v>
      </c>
    </row>
    <row r="916" spans="1:3" x14ac:dyDescent="0.3">
      <c r="A916" s="46">
        <v>43043</v>
      </c>
      <c r="B916" t="s">
        <v>7</v>
      </c>
      <c r="C916">
        <v>183</v>
      </c>
    </row>
    <row r="917" spans="1:3" x14ac:dyDescent="0.3">
      <c r="A917" s="46">
        <v>43040</v>
      </c>
      <c r="B917" t="s">
        <v>5</v>
      </c>
      <c r="C917">
        <v>82</v>
      </c>
    </row>
    <row r="918" spans="1:3" x14ac:dyDescent="0.3">
      <c r="A918" s="46">
        <v>43041</v>
      </c>
      <c r="B918" t="s">
        <v>7</v>
      </c>
      <c r="C918">
        <v>75</v>
      </c>
    </row>
    <row r="919" spans="1:3" x14ac:dyDescent="0.3">
      <c r="A919" s="46">
        <v>43041</v>
      </c>
      <c r="B919" t="s">
        <v>5</v>
      </c>
      <c r="C919">
        <v>88</v>
      </c>
    </row>
    <row r="920" spans="1:3" x14ac:dyDescent="0.3">
      <c r="A920" s="46">
        <v>43047</v>
      </c>
      <c r="B920" t="s">
        <v>5</v>
      </c>
      <c r="C920">
        <v>14</v>
      </c>
    </row>
    <row r="921" spans="1:3" x14ac:dyDescent="0.3">
      <c r="A921" s="46">
        <v>43044</v>
      </c>
      <c r="B921" t="s">
        <v>5</v>
      </c>
      <c r="C921">
        <v>124</v>
      </c>
    </row>
    <row r="922" spans="1:3" x14ac:dyDescent="0.3">
      <c r="A922" s="46">
        <v>43043</v>
      </c>
      <c r="B922" t="s">
        <v>7</v>
      </c>
      <c r="C922">
        <v>153</v>
      </c>
    </row>
    <row r="923" spans="1:3" x14ac:dyDescent="0.3">
      <c r="A923" s="46">
        <v>43043</v>
      </c>
      <c r="B923" t="s">
        <v>13</v>
      </c>
      <c r="C923">
        <v>113</v>
      </c>
    </row>
    <row r="924" spans="1:3" x14ac:dyDescent="0.3">
      <c r="A924" s="46">
        <v>43047</v>
      </c>
      <c r="B924" t="s">
        <v>5</v>
      </c>
      <c r="C924">
        <v>94</v>
      </c>
    </row>
    <row r="925" spans="1:3" x14ac:dyDescent="0.3">
      <c r="A925" s="46">
        <v>43042</v>
      </c>
      <c r="B925" t="s">
        <v>7</v>
      </c>
      <c r="C925">
        <v>16</v>
      </c>
    </row>
    <row r="926" spans="1:3" x14ac:dyDescent="0.3">
      <c r="A926" s="46">
        <v>43046</v>
      </c>
      <c r="B926" t="s">
        <v>13</v>
      </c>
      <c r="C926">
        <v>156</v>
      </c>
    </row>
    <row r="927" spans="1:3" x14ac:dyDescent="0.3">
      <c r="A927" s="46">
        <v>43042</v>
      </c>
      <c r="B927" t="s">
        <v>13</v>
      </c>
      <c r="C927">
        <v>16</v>
      </c>
    </row>
    <row r="928" spans="1:3" x14ac:dyDescent="0.3">
      <c r="A928" s="46">
        <v>43041</v>
      </c>
      <c r="B928" t="s">
        <v>13</v>
      </c>
      <c r="C928">
        <v>165</v>
      </c>
    </row>
    <row r="929" spans="1:3" x14ac:dyDescent="0.3">
      <c r="A929" s="46">
        <v>43042</v>
      </c>
      <c r="B929" t="s">
        <v>5</v>
      </c>
      <c r="C929">
        <v>108</v>
      </c>
    </row>
    <row r="930" spans="1:3" x14ac:dyDescent="0.3">
      <c r="A930" s="46">
        <v>43045</v>
      </c>
      <c r="B930" t="s">
        <v>7</v>
      </c>
      <c r="C930">
        <v>158</v>
      </c>
    </row>
    <row r="931" spans="1:3" x14ac:dyDescent="0.3">
      <c r="A931" s="46">
        <v>43046</v>
      </c>
      <c r="B931" t="s">
        <v>13</v>
      </c>
      <c r="C931">
        <v>107</v>
      </c>
    </row>
    <row r="932" spans="1:3" x14ac:dyDescent="0.3">
      <c r="A932" s="46">
        <v>43043</v>
      </c>
      <c r="B932" t="s">
        <v>8</v>
      </c>
      <c r="C932">
        <v>127</v>
      </c>
    </row>
    <row r="933" spans="1:3" x14ac:dyDescent="0.3">
      <c r="A933" s="46">
        <v>43047</v>
      </c>
      <c r="B933" t="s">
        <v>13</v>
      </c>
      <c r="C933">
        <v>120</v>
      </c>
    </row>
    <row r="934" spans="1:3" x14ac:dyDescent="0.3">
      <c r="A934" s="46">
        <v>43045</v>
      </c>
      <c r="B934" t="s">
        <v>7</v>
      </c>
      <c r="C934">
        <v>69</v>
      </c>
    </row>
    <row r="935" spans="1:3" x14ac:dyDescent="0.3">
      <c r="A935" s="46">
        <v>43047</v>
      </c>
      <c r="B935" t="s">
        <v>7</v>
      </c>
      <c r="C935">
        <v>186</v>
      </c>
    </row>
    <row r="936" spans="1:3" x14ac:dyDescent="0.3">
      <c r="A936" s="46">
        <v>43044</v>
      </c>
      <c r="B936" t="s">
        <v>7</v>
      </c>
      <c r="C936">
        <v>171</v>
      </c>
    </row>
    <row r="937" spans="1:3" x14ac:dyDescent="0.3">
      <c r="A937" s="46">
        <v>43044</v>
      </c>
      <c r="B937" t="s">
        <v>5</v>
      </c>
      <c r="C937">
        <v>99</v>
      </c>
    </row>
    <row r="938" spans="1:3" x14ac:dyDescent="0.3">
      <c r="A938" s="46">
        <v>43044</v>
      </c>
      <c r="B938" t="s">
        <v>8</v>
      </c>
      <c r="C938">
        <v>164</v>
      </c>
    </row>
    <row r="939" spans="1:3" x14ac:dyDescent="0.3">
      <c r="A939" s="46">
        <v>43041</v>
      </c>
      <c r="B939" t="s">
        <v>5</v>
      </c>
      <c r="C939">
        <v>158</v>
      </c>
    </row>
    <row r="940" spans="1:3" x14ac:dyDescent="0.3">
      <c r="A940" s="46">
        <v>43042</v>
      </c>
      <c r="B940" t="s">
        <v>7</v>
      </c>
      <c r="C940">
        <v>156</v>
      </c>
    </row>
    <row r="941" spans="1:3" x14ac:dyDescent="0.3">
      <c r="A941" s="46">
        <v>43041</v>
      </c>
      <c r="B941" t="s">
        <v>8</v>
      </c>
      <c r="C941">
        <v>152</v>
      </c>
    </row>
    <row r="942" spans="1:3" x14ac:dyDescent="0.3">
      <c r="A942" s="46">
        <v>43046</v>
      </c>
      <c r="B942" t="s">
        <v>8</v>
      </c>
      <c r="C942">
        <v>158</v>
      </c>
    </row>
    <row r="943" spans="1:3" x14ac:dyDescent="0.3">
      <c r="A943" s="46">
        <v>43041</v>
      </c>
      <c r="B943" t="s">
        <v>5</v>
      </c>
      <c r="C943">
        <v>190</v>
      </c>
    </row>
    <row r="944" spans="1:3" x14ac:dyDescent="0.3">
      <c r="A944" s="46">
        <v>43044</v>
      </c>
      <c r="B944" t="s">
        <v>13</v>
      </c>
      <c r="C944">
        <v>11</v>
      </c>
    </row>
    <row r="945" spans="1:3" x14ac:dyDescent="0.3">
      <c r="A945" s="46">
        <v>43045</v>
      </c>
      <c r="B945" t="s">
        <v>7</v>
      </c>
      <c r="C945">
        <v>4</v>
      </c>
    </row>
    <row r="946" spans="1:3" x14ac:dyDescent="0.3">
      <c r="A946" s="46">
        <v>43044</v>
      </c>
      <c r="B946" t="s">
        <v>8</v>
      </c>
      <c r="C946">
        <v>101</v>
      </c>
    </row>
    <row r="947" spans="1:3" x14ac:dyDescent="0.3">
      <c r="A947" s="46">
        <v>43040</v>
      </c>
      <c r="B947" t="s">
        <v>7</v>
      </c>
      <c r="C947">
        <v>8</v>
      </c>
    </row>
    <row r="948" spans="1:3" x14ac:dyDescent="0.3">
      <c r="A948" s="46">
        <v>43047</v>
      </c>
      <c r="B948" t="s">
        <v>7</v>
      </c>
      <c r="C948">
        <v>140</v>
      </c>
    </row>
    <row r="949" spans="1:3" x14ac:dyDescent="0.3">
      <c r="A949" s="46">
        <v>43042</v>
      </c>
      <c r="B949" t="s">
        <v>5</v>
      </c>
      <c r="C949">
        <v>148</v>
      </c>
    </row>
    <row r="950" spans="1:3" x14ac:dyDescent="0.3">
      <c r="A950" s="46">
        <v>43046</v>
      </c>
      <c r="B950" t="s">
        <v>7</v>
      </c>
      <c r="C950">
        <v>174</v>
      </c>
    </row>
    <row r="951" spans="1:3" x14ac:dyDescent="0.3">
      <c r="A951" s="46">
        <v>43046</v>
      </c>
      <c r="B951" t="s">
        <v>5</v>
      </c>
      <c r="C951">
        <v>112</v>
      </c>
    </row>
    <row r="952" spans="1:3" x14ac:dyDescent="0.3">
      <c r="A952" s="46">
        <v>43045</v>
      </c>
      <c r="B952" t="s">
        <v>5</v>
      </c>
      <c r="C952">
        <v>12</v>
      </c>
    </row>
    <row r="953" spans="1:3" x14ac:dyDescent="0.3">
      <c r="A953" s="46">
        <v>43041</v>
      </c>
      <c r="B953" t="s">
        <v>7</v>
      </c>
      <c r="C953">
        <v>55</v>
      </c>
    </row>
    <row r="954" spans="1:3" x14ac:dyDescent="0.3">
      <c r="A954" s="46">
        <v>43045</v>
      </c>
      <c r="B954" t="s">
        <v>13</v>
      </c>
      <c r="C954">
        <v>29</v>
      </c>
    </row>
    <row r="955" spans="1:3" x14ac:dyDescent="0.3">
      <c r="A955" s="46">
        <v>43044</v>
      </c>
      <c r="B955" t="s">
        <v>13</v>
      </c>
      <c r="C955">
        <v>23</v>
      </c>
    </row>
    <row r="956" spans="1:3" x14ac:dyDescent="0.3">
      <c r="A956" s="46">
        <v>43043</v>
      </c>
      <c r="B956" t="s">
        <v>13</v>
      </c>
      <c r="C956">
        <v>31</v>
      </c>
    </row>
    <row r="957" spans="1:3" x14ac:dyDescent="0.3">
      <c r="A957" s="46">
        <v>43041</v>
      </c>
      <c r="B957" t="s">
        <v>7</v>
      </c>
      <c r="C957">
        <v>152</v>
      </c>
    </row>
    <row r="958" spans="1:3" x14ac:dyDescent="0.3">
      <c r="A958" s="46">
        <v>43042</v>
      </c>
      <c r="B958" t="s">
        <v>8</v>
      </c>
      <c r="C958">
        <v>113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0F62E-4FCA-493D-8EC1-0AC55B3B9FAB}">
  <sheetPr>
    <tabColor rgb="FF0000FF"/>
  </sheetPr>
  <dimension ref="A1:AN655"/>
  <sheetViews>
    <sheetView topLeftCell="A635" zoomScale="70" zoomScaleNormal="70" workbookViewId="0">
      <selection activeCell="I654" sqref="I654"/>
    </sheetView>
  </sheetViews>
  <sheetFormatPr defaultRowHeight="14.4" x14ac:dyDescent="0.3"/>
  <cols>
    <col min="1" max="5" width="15.6640625" customWidth="1"/>
    <col min="6" max="6" width="16.6640625" customWidth="1"/>
    <col min="7" max="7" width="15.109375" customWidth="1"/>
    <col min="8" max="9" width="11.33203125" customWidth="1"/>
    <col min="10" max="11" width="10.109375" customWidth="1"/>
    <col min="13" max="13" width="13.33203125" customWidth="1"/>
    <col min="14" max="14" width="14.88671875" customWidth="1"/>
    <col min="23" max="23" width="10.33203125" bestFit="1" customWidth="1"/>
    <col min="31" max="31" width="55" bestFit="1" customWidth="1"/>
  </cols>
  <sheetData>
    <row r="1" spans="1:40" x14ac:dyDescent="0.3">
      <c r="A1" s="60" t="s">
        <v>45</v>
      </c>
      <c r="B1" s="61"/>
      <c r="C1" s="61"/>
      <c r="D1" s="61"/>
      <c r="E1" s="61"/>
      <c r="F1" s="61"/>
      <c r="G1" s="61"/>
      <c r="H1" s="61"/>
      <c r="I1" s="62"/>
      <c r="AM1" s="21" t="s">
        <v>43</v>
      </c>
      <c r="AN1" s="21" t="s">
        <v>44</v>
      </c>
    </row>
    <row r="2" spans="1:40" x14ac:dyDescent="0.3">
      <c r="A2" s="63" t="s">
        <v>47</v>
      </c>
      <c r="B2" s="64"/>
      <c r="C2" s="64"/>
      <c r="D2" s="64"/>
      <c r="E2" s="64"/>
      <c r="F2" s="64"/>
      <c r="G2" s="64"/>
      <c r="H2" s="64"/>
      <c r="I2" s="65"/>
      <c r="AM2">
        <v>0</v>
      </c>
      <c r="AN2">
        <v>0</v>
      </c>
    </row>
    <row r="3" spans="1:40" x14ac:dyDescent="0.3">
      <c r="A3" s="69" t="s">
        <v>48</v>
      </c>
      <c r="B3" s="64"/>
      <c r="C3" s="64"/>
      <c r="D3" s="64"/>
      <c r="E3" s="64"/>
      <c r="F3" s="64"/>
      <c r="G3" s="64"/>
      <c r="H3" s="64"/>
      <c r="I3" s="65"/>
      <c r="AM3">
        <v>12</v>
      </c>
      <c r="AN3">
        <v>0.25</v>
      </c>
    </row>
    <row r="4" spans="1:40" x14ac:dyDescent="0.3">
      <c r="A4" s="70" t="str">
        <f>"If the customer purchased between "&amp;AM3&amp;" and "&amp;AM4-1&amp;" units, then they get a "&amp;TEXT(AN3,"0.00%")&amp;" discount."</f>
        <v>If the customer purchased between 12 and 47 units, then they get a 25.00% discount.</v>
      </c>
      <c r="B4" s="64"/>
      <c r="C4" s="64"/>
      <c r="D4" s="64"/>
      <c r="E4" s="64"/>
      <c r="F4" s="64"/>
      <c r="G4" s="64"/>
      <c r="H4" s="64"/>
      <c r="I4" s="65"/>
      <c r="AM4">
        <v>48</v>
      </c>
      <c r="AN4">
        <v>0.375</v>
      </c>
    </row>
    <row r="5" spans="1:40" x14ac:dyDescent="0.3">
      <c r="A5" s="70" t="str">
        <f>"If the customer purchased between "&amp;AM4&amp;" and "&amp;AM5-1&amp;" units, then they get a "&amp;TEXT(AN4,"0.00%")&amp;" discount."</f>
        <v>If the customer purchased between 48 and 95 units, then they get a 37.50% discount.</v>
      </c>
      <c r="B5" s="64"/>
      <c r="C5" s="64"/>
      <c r="D5" s="64"/>
      <c r="E5" s="64"/>
      <c r="F5" s="64"/>
      <c r="G5" s="64"/>
      <c r="H5" s="64"/>
      <c r="I5" s="65"/>
      <c r="AM5">
        <v>96</v>
      </c>
      <c r="AN5">
        <v>0.4375</v>
      </c>
    </row>
    <row r="6" spans="1:40" x14ac:dyDescent="0.3">
      <c r="A6" s="70" t="str">
        <f>"If the customer purchased between "&amp;AM5&amp;" and "&amp;AM6-1&amp;" units, then they get a "&amp;TEXT(AN5,"0.00%")&amp;" discount."</f>
        <v>If the customer purchased between 96 and 143 units, then they get a 43.75% discount.</v>
      </c>
      <c r="B6" s="64"/>
      <c r="C6" s="64"/>
      <c r="D6" s="64"/>
      <c r="E6" s="64"/>
      <c r="F6" s="64"/>
      <c r="G6" s="64"/>
      <c r="H6" s="64"/>
      <c r="I6" s="65"/>
      <c r="AM6">
        <v>144</v>
      </c>
      <c r="AN6">
        <v>0.5</v>
      </c>
    </row>
    <row r="7" spans="1:40" x14ac:dyDescent="0.3">
      <c r="A7" s="70" t="str">
        <f>"If the customer purchased "&amp;AM6&amp;" or more units, then they get a "&amp;TEXT(AN6,"0.00%")&amp;" discount."</f>
        <v>If the customer purchased 144 or more units, then they get a 50.00% discount.</v>
      </c>
      <c r="B7" s="64"/>
      <c r="C7" s="64"/>
      <c r="D7" s="64"/>
      <c r="E7" s="64"/>
      <c r="F7" s="64"/>
      <c r="G7" s="64"/>
      <c r="H7" s="64"/>
      <c r="I7" s="65"/>
    </row>
    <row r="8" spans="1:40" x14ac:dyDescent="0.3">
      <c r="A8" s="69" t="s">
        <v>49</v>
      </c>
      <c r="B8" s="64"/>
      <c r="C8" s="64"/>
      <c r="D8" s="64"/>
      <c r="E8" s="64"/>
      <c r="F8" s="64"/>
      <c r="G8" s="64"/>
      <c r="H8" s="64"/>
      <c r="I8" s="65"/>
    </row>
    <row r="9" spans="1:40" x14ac:dyDescent="0.3">
      <c r="A9" s="71" t="s">
        <v>46</v>
      </c>
      <c r="B9" s="64"/>
      <c r="C9" s="64"/>
      <c r="D9" s="64"/>
      <c r="E9" s="64"/>
      <c r="F9" s="64"/>
      <c r="G9" s="64"/>
      <c r="H9" s="64"/>
      <c r="I9" s="65"/>
    </row>
    <row r="10" spans="1:40" x14ac:dyDescent="0.3">
      <c r="A10" s="69" t="s">
        <v>50</v>
      </c>
      <c r="B10" s="64"/>
      <c r="C10" s="64"/>
      <c r="D10" s="64"/>
      <c r="E10" s="64"/>
      <c r="F10" s="64"/>
      <c r="G10" s="64"/>
      <c r="H10" s="64"/>
      <c r="I10" s="65"/>
      <c r="M10" s="21" t="s">
        <v>33</v>
      </c>
    </row>
    <row r="11" spans="1:40" x14ac:dyDescent="0.3">
      <c r="A11" s="69" t="str">
        <f>""&amp;ROWS(A$11:A11)+3&amp;") In Cell "&amp;ADDRESS(ROW(RevenueTable[[#Headers],[Total Revenue]]),COLUMN(RevenueTable[[#Headers],[Total Revenue]]),4)&amp;" type the Column Name 'Discount on Total Revenue'"</f>
        <v>4) In Cell E19 type the Column Name 'Discount on Total Revenue'</v>
      </c>
      <c r="B11" s="64"/>
      <c r="C11" s="64"/>
      <c r="D11" s="64"/>
      <c r="E11" s="64"/>
      <c r="F11" s="64"/>
      <c r="G11" s="64"/>
      <c r="H11" s="64"/>
      <c r="I11" s="65"/>
    </row>
    <row r="12" spans="1:40" x14ac:dyDescent="0.3">
      <c r="A12" s="69" t="str">
        <f>""&amp;ROWS(A$11:A12)+3&amp;") In Cell "&amp;ADDRESS(ROW(E20),COLUMN(E20),4)&amp;" create Approximate Match VLOOKUP Formula to show discount"</f>
        <v>5) In Cell E20 create Approximate Match VLOOKUP Formula to show discount</v>
      </c>
      <c r="B12" s="64"/>
      <c r="C12" s="64"/>
      <c r="D12" s="64"/>
      <c r="E12" s="64"/>
      <c r="F12" s="64"/>
      <c r="G12" s="64"/>
      <c r="H12" s="64"/>
      <c r="I12" s="65"/>
    </row>
    <row r="13" spans="1:40" x14ac:dyDescent="0.3">
      <c r="A13" s="63" t="s">
        <v>51</v>
      </c>
      <c r="B13" s="64"/>
      <c r="C13" s="64"/>
      <c r="D13" s="64"/>
      <c r="E13" s="64"/>
      <c r="F13" s="64"/>
      <c r="G13" s="64"/>
      <c r="H13" s="64"/>
      <c r="I13" s="65"/>
      <c r="M13" s="46">
        <v>43042</v>
      </c>
      <c r="N13" t="s">
        <v>5</v>
      </c>
      <c r="O13">
        <v>15</v>
      </c>
      <c r="P13">
        <v>22.95</v>
      </c>
      <c r="Q13">
        <v>344.25</v>
      </c>
    </row>
    <row r="14" spans="1:40" x14ac:dyDescent="0.3">
      <c r="A14" s="63"/>
      <c r="B14" s="64"/>
      <c r="C14" s="64"/>
      <c r="D14" s="64"/>
      <c r="E14" s="64"/>
      <c r="F14" s="64"/>
      <c r="G14" s="64"/>
      <c r="H14" s="64"/>
      <c r="I14" s="65"/>
      <c r="M14" s="46">
        <v>43040</v>
      </c>
      <c r="N14" t="s">
        <v>7</v>
      </c>
      <c r="O14">
        <v>46</v>
      </c>
      <c r="P14">
        <v>22.95</v>
      </c>
      <c r="Q14">
        <v>1055.7</v>
      </c>
    </row>
    <row r="15" spans="1:40" x14ac:dyDescent="0.3">
      <c r="A15" s="66"/>
      <c r="B15" s="67"/>
      <c r="C15" s="67"/>
      <c r="D15" s="67"/>
      <c r="E15" s="67"/>
      <c r="F15" s="67"/>
      <c r="G15" s="67"/>
      <c r="H15" s="67"/>
      <c r="I15" s="68"/>
      <c r="M15" s="46">
        <v>43046</v>
      </c>
      <c r="N15" t="s">
        <v>5</v>
      </c>
      <c r="O15">
        <v>17</v>
      </c>
      <c r="P15">
        <v>43.95</v>
      </c>
      <c r="Q15">
        <v>747.15000000000009</v>
      </c>
    </row>
    <row r="17" spans="1:14" x14ac:dyDescent="0.3">
      <c r="A17" s="21" t="s">
        <v>52</v>
      </c>
    </row>
    <row r="19" spans="1:14" ht="28.8" x14ac:dyDescent="0.3">
      <c r="A19" s="21" t="s">
        <v>1</v>
      </c>
      <c r="B19" s="21" t="s">
        <v>2</v>
      </c>
      <c r="C19" s="21" t="s">
        <v>32</v>
      </c>
      <c r="D19" s="21" t="s">
        <v>41</v>
      </c>
      <c r="E19" s="21" t="s">
        <v>42</v>
      </c>
      <c r="F19" s="105" t="s">
        <v>53</v>
      </c>
      <c r="G19" s="102" t="s">
        <v>54</v>
      </c>
      <c r="M19" t="s">
        <v>43</v>
      </c>
      <c r="N19" t="s">
        <v>44</v>
      </c>
    </row>
    <row r="20" spans="1:14" x14ac:dyDescent="0.3">
      <c r="A20" s="46">
        <v>43045</v>
      </c>
      <c r="B20" t="s">
        <v>5</v>
      </c>
      <c r="C20">
        <v>190</v>
      </c>
      <c r="D20" s="59">
        <v>22.95</v>
      </c>
      <c r="E20" s="59">
        <v>4360.5</v>
      </c>
      <c r="F20">
        <f>VLOOKUP(RevenueTable[[#This Row],[Units Sold]],Discounttable[],2)</f>
        <v>0.55000000000000004</v>
      </c>
      <c r="G20">
        <f>ROUND((1-RevenueTable[[#This Row],[Discount on Total Revenue]])*RevenueTable[[#This Row],[Total Revenue]],2)</f>
        <v>1962.23</v>
      </c>
      <c r="M20">
        <v>0</v>
      </c>
      <c r="N20">
        <v>0</v>
      </c>
    </row>
    <row r="21" spans="1:14" x14ac:dyDescent="0.3">
      <c r="A21" s="46">
        <v>43040</v>
      </c>
      <c r="B21" t="s">
        <v>5</v>
      </c>
      <c r="C21">
        <v>138</v>
      </c>
      <c r="D21" s="59">
        <v>22.95</v>
      </c>
      <c r="E21" s="59">
        <v>3167.1</v>
      </c>
      <c r="F21">
        <f>VLOOKUP(RevenueTable[[#This Row],[Units Sold]],Discounttable[],2)</f>
        <v>0.4375</v>
      </c>
      <c r="G21">
        <f>ROUND((1-RevenueTable[[#This Row],[Discount on Total Revenue]])*RevenueTable[[#This Row],[Total Revenue]],2)</f>
        <v>1781.49</v>
      </c>
      <c r="M21">
        <v>12</v>
      </c>
      <c r="N21">
        <v>0.25</v>
      </c>
    </row>
    <row r="22" spans="1:14" x14ac:dyDescent="0.3">
      <c r="A22" s="46">
        <v>43043</v>
      </c>
      <c r="B22" t="s">
        <v>7</v>
      </c>
      <c r="C22">
        <v>12</v>
      </c>
      <c r="D22" s="59">
        <v>43.95</v>
      </c>
      <c r="E22" s="59">
        <v>527.40000000000009</v>
      </c>
      <c r="F22">
        <f>VLOOKUP(RevenueTable[[#This Row],[Units Sold]],Discounttable[],2)</f>
        <v>0.25</v>
      </c>
      <c r="G22">
        <f>ROUND((1-RevenueTable[[#This Row],[Discount on Total Revenue]])*RevenueTable[[#This Row],[Total Revenue]],2)</f>
        <v>395.55</v>
      </c>
      <c r="M22">
        <v>48</v>
      </c>
      <c r="N22">
        <v>0.375</v>
      </c>
    </row>
    <row r="23" spans="1:14" x14ac:dyDescent="0.3">
      <c r="A23" s="46">
        <v>43041</v>
      </c>
      <c r="B23" t="s">
        <v>13</v>
      </c>
      <c r="C23">
        <v>45</v>
      </c>
      <c r="D23" s="59">
        <v>14.95</v>
      </c>
      <c r="E23" s="59">
        <v>672.75</v>
      </c>
      <c r="F23">
        <f>VLOOKUP(RevenueTable[[#This Row],[Units Sold]],Discounttable[],2)</f>
        <v>0.25</v>
      </c>
      <c r="G23">
        <f>ROUND((1-RevenueTable[[#This Row],[Discount on Total Revenue]])*RevenueTable[[#This Row],[Total Revenue]],2)</f>
        <v>504.56</v>
      </c>
      <c r="M23">
        <v>96</v>
      </c>
      <c r="N23">
        <v>0.4375</v>
      </c>
    </row>
    <row r="24" spans="1:14" x14ac:dyDescent="0.3">
      <c r="A24" s="46">
        <v>43043</v>
      </c>
      <c r="B24" t="s">
        <v>5</v>
      </c>
      <c r="C24">
        <v>187</v>
      </c>
      <c r="D24" s="59">
        <v>22.95</v>
      </c>
      <c r="E24" s="59">
        <v>4291.6499999999996</v>
      </c>
      <c r="F24">
        <f>VLOOKUP(RevenueTable[[#This Row],[Units Sold]],Discounttable[],2)</f>
        <v>0.55000000000000004</v>
      </c>
      <c r="G24">
        <f>ROUND((1-RevenueTable[[#This Row],[Discount on Total Revenue]])*RevenueTable[[#This Row],[Total Revenue]],2)</f>
        <v>1931.24</v>
      </c>
      <c r="M24">
        <v>144</v>
      </c>
      <c r="N24">
        <v>0.5</v>
      </c>
    </row>
    <row r="25" spans="1:14" x14ac:dyDescent="0.3">
      <c r="A25" s="46">
        <v>43042</v>
      </c>
      <c r="B25" t="s">
        <v>13</v>
      </c>
      <c r="C25">
        <v>29</v>
      </c>
      <c r="D25" s="59">
        <v>14.95</v>
      </c>
      <c r="E25" s="59">
        <v>433.54999999999995</v>
      </c>
      <c r="F25">
        <f>VLOOKUP(RevenueTable[[#This Row],[Units Sold]],Discounttable[],2)</f>
        <v>0.25</v>
      </c>
      <c r="G25">
        <f>ROUND((1-RevenueTable[[#This Row],[Discount on Total Revenue]])*RevenueTable[[#This Row],[Total Revenue]],2)</f>
        <v>325.16000000000003</v>
      </c>
      <c r="M25">
        <v>168</v>
      </c>
      <c r="N25">
        <v>0.55000000000000004</v>
      </c>
    </row>
    <row r="26" spans="1:14" x14ac:dyDescent="0.3">
      <c r="A26" s="46">
        <v>43046</v>
      </c>
      <c r="B26" t="s">
        <v>13</v>
      </c>
      <c r="C26">
        <v>106</v>
      </c>
      <c r="D26" s="59">
        <v>14.95</v>
      </c>
      <c r="E26" s="59">
        <v>1584.6999999999998</v>
      </c>
      <c r="F26">
        <f>VLOOKUP(RevenueTable[[#This Row],[Units Sold]],Discounttable[],2)</f>
        <v>0.4375</v>
      </c>
      <c r="G26">
        <f>ROUND((1-RevenueTable[[#This Row],[Discount on Total Revenue]])*RevenueTable[[#This Row],[Total Revenue]],2)</f>
        <v>891.39</v>
      </c>
    </row>
    <row r="27" spans="1:14" x14ac:dyDescent="0.3">
      <c r="A27" s="46">
        <v>43041</v>
      </c>
      <c r="B27" t="s">
        <v>5</v>
      </c>
      <c r="C27">
        <v>147</v>
      </c>
      <c r="D27" s="59">
        <v>22.95</v>
      </c>
      <c r="E27" s="59">
        <v>3373.65</v>
      </c>
      <c r="F27">
        <f>VLOOKUP(RevenueTable[[#This Row],[Units Sold]],Discounttable[],2)</f>
        <v>0.5</v>
      </c>
      <c r="G27">
        <f>ROUND((1-RevenueTable[[#This Row],[Discount on Total Revenue]])*RevenueTable[[#This Row],[Total Revenue]],2)</f>
        <v>1686.83</v>
      </c>
    </row>
    <row r="28" spans="1:14" x14ac:dyDescent="0.3">
      <c r="A28" s="46">
        <v>43043</v>
      </c>
      <c r="B28" t="s">
        <v>7</v>
      </c>
      <c r="C28">
        <v>143</v>
      </c>
      <c r="D28" s="59">
        <v>43.95</v>
      </c>
      <c r="E28" s="59">
        <v>6284.85</v>
      </c>
      <c r="F28">
        <f>VLOOKUP(RevenueTable[[#This Row],[Units Sold]],Discounttable[],2)</f>
        <v>0.4375</v>
      </c>
      <c r="G28">
        <f>ROUND((1-RevenueTable[[#This Row],[Discount on Total Revenue]])*RevenueTable[[#This Row],[Total Revenue]],2)</f>
        <v>3535.23</v>
      </c>
    </row>
    <row r="29" spans="1:14" x14ac:dyDescent="0.3">
      <c r="A29" s="46">
        <v>43044</v>
      </c>
      <c r="B29" t="s">
        <v>8</v>
      </c>
      <c r="C29">
        <v>33</v>
      </c>
      <c r="D29" s="59">
        <v>21.95</v>
      </c>
      <c r="E29" s="59">
        <v>724.35</v>
      </c>
      <c r="F29">
        <f>VLOOKUP(RevenueTable[[#This Row],[Units Sold]],Discounttable[],2)</f>
        <v>0.25</v>
      </c>
      <c r="G29">
        <f>ROUND((1-RevenueTable[[#This Row],[Discount on Total Revenue]])*RevenueTable[[#This Row],[Total Revenue]],2)</f>
        <v>543.26</v>
      </c>
    </row>
    <row r="30" spans="1:14" x14ac:dyDescent="0.3">
      <c r="A30" s="46">
        <v>43045</v>
      </c>
      <c r="B30" t="s">
        <v>8</v>
      </c>
      <c r="C30">
        <v>99</v>
      </c>
      <c r="D30" s="59">
        <v>21.95</v>
      </c>
      <c r="E30" s="59">
        <v>2173.0499999999997</v>
      </c>
      <c r="F30">
        <f>VLOOKUP(RevenueTable[[#This Row],[Units Sold]],Discounttable[],2)</f>
        <v>0.4375</v>
      </c>
      <c r="G30">
        <f>ROUND((1-RevenueTable[[#This Row],[Discount on Total Revenue]])*RevenueTable[[#This Row],[Total Revenue]],2)</f>
        <v>1222.3399999999999</v>
      </c>
    </row>
    <row r="31" spans="1:14" x14ac:dyDescent="0.3">
      <c r="A31" s="46">
        <v>43047</v>
      </c>
      <c r="B31" t="s">
        <v>5</v>
      </c>
      <c r="C31">
        <v>35</v>
      </c>
      <c r="D31" s="59">
        <v>22.95</v>
      </c>
      <c r="E31" s="59">
        <v>803.25</v>
      </c>
      <c r="F31">
        <f>VLOOKUP(RevenueTable[[#This Row],[Units Sold]],Discounttable[],2)</f>
        <v>0.25</v>
      </c>
      <c r="G31">
        <f>ROUND((1-RevenueTable[[#This Row],[Discount on Total Revenue]])*RevenueTable[[#This Row],[Total Revenue]],2)</f>
        <v>602.44000000000005</v>
      </c>
    </row>
    <row r="32" spans="1:14" x14ac:dyDescent="0.3">
      <c r="A32" s="46">
        <v>43045</v>
      </c>
      <c r="B32" t="s">
        <v>8</v>
      </c>
      <c r="C32">
        <v>21</v>
      </c>
      <c r="D32" s="59">
        <v>21.95</v>
      </c>
      <c r="E32" s="59">
        <v>460.95</v>
      </c>
      <c r="F32">
        <f>VLOOKUP(RevenueTable[[#This Row],[Units Sold]],Discounttable[],2)</f>
        <v>0.25</v>
      </c>
      <c r="G32">
        <f>ROUND((1-RevenueTable[[#This Row],[Discount on Total Revenue]])*RevenueTable[[#This Row],[Total Revenue]],2)</f>
        <v>345.71</v>
      </c>
    </row>
    <row r="33" spans="1:7" x14ac:dyDescent="0.3">
      <c r="A33" s="46">
        <v>43047</v>
      </c>
      <c r="B33" t="s">
        <v>7</v>
      </c>
      <c r="C33">
        <v>60</v>
      </c>
      <c r="D33" s="59">
        <v>43.95</v>
      </c>
      <c r="E33" s="59">
        <v>2637</v>
      </c>
      <c r="F33">
        <f>VLOOKUP(RevenueTable[[#This Row],[Units Sold]],Discounttable[],2)</f>
        <v>0.375</v>
      </c>
      <c r="G33">
        <f>ROUND((1-RevenueTable[[#This Row],[Discount on Total Revenue]])*RevenueTable[[#This Row],[Total Revenue]],2)</f>
        <v>1648.13</v>
      </c>
    </row>
    <row r="34" spans="1:7" x14ac:dyDescent="0.3">
      <c r="A34" s="46">
        <v>43045</v>
      </c>
      <c r="B34" t="s">
        <v>5</v>
      </c>
      <c r="C34">
        <v>132</v>
      </c>
      <c r="D34" s="59">
        <v>22.95</v>
      </c>
      <c r="E34" s="59">
        <v>3029.4</v>
      </c>
      <c r="F34">
        <f>VLOOKUP(RevenueTable[[#This Row],[Units Sold]],Discounttable[],2)</f>
        <v>0.4375</v>
      </c>
      <c r="G34">
        <f>ROUND((1-RevenueTable[[#This Row],[Discount on Total Revenue]])*RevenueTable[[#This Row],[Total Revenue]],2)</f>
        <v>1704.04</v>
      </c>
    </row>
    <row r="35" spans="1:7" x14ac:dyDescent="0.3">
      <c r="A35" s="46">
        <v>43047</v>
      </c>
      <c r="B35" t="s">
        <v>13</v>
      </c>
      <c r="C35">
        <v>156</v>
      </c>
      <c r="D35" s="59">
        <v>14.95</v>
      </c>
      <c r="E35" s="59">
        <v>2332.1999999999998</v>
      </c>
      <c r="F35">
        <f>VLOOKUP(RevenueTable[[#This Row],[Units Sold]],Discounttable[],2)</f>
        <v>0.5</v>
      </c>
      <c r="G35">
        <f>ROUND((1-RevenueTable[[#This Row],[Discount on Total Revenue]])*RevenueTable[[#This Row],[Total Revenue]],2)</f>
        <v>1166.0999999999999</v>
      </c>
    </row>
    <row r="36" spans="1:7" x14ac:dyDescent="0.3">
      <c r="A36" s="46">
        <v>43045</v>
      </c>
      <c r="B36" t="s">
        <v>13</v>
      </c>
      <c r="C36">
        <v>120</v>
      </c>
      <c r="D36" s="59">
        <v>14.95</v>
      </c>
      <c r="E36" s="59">
        <v>1794</v>
      </c>
      <c r="F36">
        <f>VLOOKUP(RevenueTable[[#This Row],[Units Sold]],Discounttable[],2)</f>
        <v>0.4375</v>
      </c>
      <c r="G36">
        <f>ROUND((1-RevenueTable[[#This Row],[Discount on Total Revenue]])*RevenueTable[[#This Row],[Total Revenue]],2)</f>
        <v>1009.13</v>
      </c>
    </row>
    <row r="37" spans="1:7" x14ac:dyDescent="0.3">
      <c r="A37" s="46">
        <v>43043</v>
      </c>
      <c r="B37" t="s">
        <v>8</v>
      </c>
      <c r="C37">
        <v>55</v>
      </c>
      <c r="D37" s="59">
        <v>21.95</v>
      </c>
      <c r="E37" s="59">
        <v>1207.25</v>
      </c>
      <c r="F37">
        <f>VLOOKUP(RevenueTable[[#This Row],[Units Sold]],Discounttable[],2)</f>
        <v>0.375</v>
      </c>
      <c r="G37">
        <f>ROUND((1-RevenueTable[[#This Row],[Discount on Total Revenue]])*RevenueTable[[#This Row],[Total Revenue]],2)</f>
        <v>754.53</v>
      </c>
    </row>
    <row r="38" spans="1:7" x14ac:dyDescent="0.3">
      <c r="A38" s="46">
        <v>43042</v>
      </c>
      <c r="B38" t="s">
        <v>8</v>
      </c>
      <c r="C38">
        <v>165</v>
      </c>
      <c r="D38" s="59">
        <v>21.95</v>
      </c>
      <c r="E38" s="59">
        <v>3621.75</v>
      </c>
      <c r="F38">
        <f>VLOOKUP(RevenueTable[[#This Row],[Units Sold]],Discounttable[],2)</f>
        <v>0.5</v>
      </c>
      <c r="G38">
        <f>ROUND((1-RevenueTable[[#This Row],[Discount on Total Revenue]])*RevenueTable[[#This Row],[Total Revenue]],2)</f>
        <v>1810.88</v>
      </c>
    </row>
    <row r="39" spans="1:7" x14ac:dyDescent="0.3">
      <c r="A39" s="46">
        <v>43046</v>
      </c>
      <c r="B39" t="s">
        <v>8</v>
      </c>
      <c r="C39">
        <v>124</v>
      </c>
      <c r="D39" s="59">
        <v>21.95</v>
      </c>
      <c r="E39" s="59">
        <v>2721.7999999999997</v>
      </c>
      <c r="F39">
        <f>VLOOKUP(RevenueTable[[#This Row],[Units Sold]],Discounttable[],2)</f>
        <v>0.4375</v>
      </c>
      <c r="G39">
        <f>ROUND((1-RevenueTable[[#This Row],[Discount on Total Revenue]])*RevenueTable[[#This Row],[Total Revenue]],2)</f>
        <v>1531.01</v>
      </c>
    </row>
    <row r="40" spans="1:7" x14ac:dyDescent="0.3">
      <c r="A40" s="46">
        <v>43046</v>
      </c>
      <c r="B40" t="s">
        <v>13</v>
      </c>
      <c r="C40">
        <v>155</v>
      </c>
      <c r="D40" s="59">
        <v>14.95</v>
      </c>
      <c r="E40" s="59">
        <v>2317.25</v>
      </c>
      <c r="F40">
        <f>VLOOKUP(RevenueTable[[#This Row],[Units Sold]],Discounttable[],2)</f>
        <v>0.5</v>
      </c>
      <c r="G40">
        <f>ROUND((1-RevenueTable[[#This Row],[Discount on Total Revenue]])*RevenueTable[[#This Row],[Total Revenue]],2)</f>
        <v>1158.6300000000001</v>
      </c>
    </row>
    <row r="41" spans="1:7" x14ac:dyDescent="0.3">
      <c r="A41" s="46">
        <v>43045</v>
      </c>
      <c r="B41" t="s">
        <v>5</v>
      </c>
      <c r="C41">
        <v>33</v>
      </c>
      <c r="D41" s="59">
        <v>22.95</v>
      </c>
      <c r="E41" s="59">
        <v>757.35</v>
      </c>
      <c r="F41">
        <f>VLOOKUP(RevenueTable[[#This Row],[Units Sold]],Discounttable[],2)</f>
        <v>0.25</v>
      </c>
      <c r="G41">
        <f>ROUND((1-RevenueTable[[#This Row],[Discount on Total Revenue]])*RevenueTable[[#This Row],[Total Revenue]],2)</f>
        <v>568.01</v>
      </c>
    </row>
    <row r="42" spans="1:7" x14ac:dyDescent="0.3">
      <c r="A42" s="46">
        <v>43047</v>
      </c>
      <c r="B42" t="s">
        <v>8</v>
      </c>
      <c r="C42">
        <v>76</v>
      </c>
      <c r="D42" s="59">
        <v>21.95</v>
      </c>
      <c r="E42" s="59">
        <v>1668.2</v>
      </c>
      <c r="F42">
        <f>VLOOKUP(RevenueTable[[#This Row],[Units Sold]],Discounttable[],2)</f>
        <v>0.375</v>
      </c>
      <c r="G42">
        <f>ROUND((1-RevenueTable[[#This Row],[Discount on Total Revenue]])*RevenueTable[[#This Row],[Total Revenue]],2)</f>
        <v>1042.6300000000001</v>
      </c>
    </row>
    <row r="43" spans="1:7" x14ac:dyDescent="0.3">
      <c r="A43" s="46">
        <v>43044</v>
      </c>
      <c r="B43" t="s">
        <v>8</v>
      </c>
      <c r="C43">
        <v>49</v>
      </c>
      <c r="D43" s="59">
        <v>21.95</v>
      </c>
      <c r="E43" s="59">
        <v>1075.55</v>
      </c>
      <c r="F43">
        <f>VLOOKUP(RevenueTable[[#This Row],[Units Sold]],Discounttable[],2)</f>
        <v>0.375</v>
      </c>
      <c r="G43">
        <f>ROUND((1-RevenueTable[[#This Row],[Discount on Total Revenue]])*RevenueTable[[#This Row],[Total Revenue]],2)</f>
        <v>672.22</v>
      </c>
    </row>
    <row r="44" spans="1:7" x14ac:dyDescent="0.3">
      <c r="A44" s="46">
        <v>43042</v>
      </c>
      <c r="B44" t="s">
        <v>13</v>
      </c>
      <c r="C44">
        <v>26</v>
      </c>
      <c r="D44" s="59">
        <v>14.95</v>
      </c>
      <c r="E44" s="59">
        <v>388.7</v>
      </c>
      <c r="F44">
        <f>VLOOKUP(RevenueTable[[#This Row],[Units Sold]],Discounttable[],2)</f>
        <v>0.25</v>
      </c>
      <c r="G44">
        <f>ROUND((1-RevenueTable[[#This Row],[Discount on Total Revenue]])*RevenueTable[[#This Row],[Total Revenue]],2)</f>
        <v>291.52999999999997</v>
      </c>
    </row>
    <row r="45" spans="1:7" x14ac:dyDescent="0.3">
      <c r="A45" s="46">
        <v>43041</v>
      </c>
      <c r="B45" t="s">
        <v>8</v>
      </c>
      <c r="C45">
        <v>30</v>
      </c>
      <c r="D45" s="59">
        <v>21.95</v>
      </c>
      <c r="E45" s="59">
        <v>658.5</v>
      </c>
      <c r="F45">
        <f>VLOOKUP(RevenueTable[[#This Row],[Units Sold]],Discounttable[],2)</f>
        <v>0.25</v>
      </c>
      <c r="G45">
        <f>ROUND((1-RevenueTable[[#This Row],[Discount on Total Revenue]])*RevenueTable[[#This Row],[Total Revenue]],2)</f>
        <v>493.88</v>
      </c>
    </row>
    <row r="46" spans="1:7" x14ac:dyDescent="0.3">
      <c r="A46" s="46">
        <v>43042</v>
      </c>
      <c r="B46" t="s">
        <v>7</v>
      </c>
      <c r="C46">
        <v>116</v>
      </c>
      <c r="D46" s="59">
        <v>43.95</v>
      </c>
      <c r="E46" s="59">
        <v>5098.2000000000007</v>
      </c>
      <c r="F46">
        <f>VLOOKUP(RevenueTable[[#This Row],[Units Sold]],Discounttable[],2)</f>
        <v>0.4375</v>
      </c>
      <c r="G46">
        <f>ROUND((1-RevenueTable[[#This Row],[Discount on Total Revenue]])*RevenueTable[[#This Row],[Total Revenue]],2)</f>
        <v>2867.74</v>
      </c>
    </row>
    <row r="47" spans="1:7" x14ac:dyDescent="0.3">
      <c r="A47" s="46">
        <v>43041</v>
      </c>
      <c r="B47" t="s">
        <v>5</v>
      </c>
      <c r="C47">
        <v>45</v>
      </c>
      <c r="D47" s="59">
        <v>22.95</v>
      </c>
      <c r="E47" s="59">
        <v>1032.75</v>
      </c>
      <c r="F47">
        <f>VLOOKUP(RevenueTable[[#This Row],[Units Sold]],Discounttable[],2)</f>
        <v>0.25</v>
      </c>
      <c r="G47">
        <f>ROUND((1-RevenueTable[[#This Row],[Discount on Total Revenue]])*RevenueTable[[#This Row],[Total Revenue]],2)</f>
        <v>774.56</v>
      </c>
    </row>
    <row r="48" spans="1:7" x14ac:dyDescent="0.3">
      <c r="A48" s="46">
        <v>43041</v>
      </c>
      <c r="B48" t="s">
        <v>13</v>
      </c>
      <c r="C48">
        <v>47</v>
      </c>
      <c r="D48" s="59">
        <v>14.95</v>
      </c>
      <c r="E48" s="59">
        <v>702.65</v>
      </c>
      <c r="F48">
        <f>VLOOKUP(RevenueTable[[#This Row],[Units Sold]],Discounttable[],2)</f>
        <v>0.25</v>
      </c>
      <c r="G48">
        <f>ROUND((1-RevenueTable[[#This Row],[Discount on Total Revenue]])*RevenueTable[[#This Row],[Total Revenue]],2)</f>
        <v>526.99</v>
      </c>
    </row>
    <row r="49" spans="1:7" x14ac:dyDescent="0.3">
      <c r="A49" s="46">
        <v>43044</v>
      </c>
      <c r="B49" t="s">
        <v>7</v>
      </c>
      <c r="C49">
        <v>113</v>
      </c>
      <c r="D49" s="59">
        <v>43.95</v>
      </c>
      <c r="E49" s="59">
        <v>4966.3500000000004</v>
      </c>
      <c r="F49">
        <f>VLOOKUP(RevenueTable[[#This Row],[Units Sold]],Discounttable[],2)</f>
        <v>0.4375</v>
      </c>
      <c r="G49">
        <f>ROUND((1-RevenueTable[[#This Row],[Discount on Total Revenue]])*RevenueTable[[#This Row],[Total Revenue]],2)</f>
        <v>2793.57</v>
      </c>
    </row>
    <row r="50" spans="1:7" x14ac:dyDescent="0.3">
      <c r="A50" s="46">
        <v>43043</v>
      </c>
      <c r="B50" t="s">
        <v>7</v>
      </c>
      <c r="C50">
        <v>70</v>
      </c>
      <c r="D50" s="59">
        <v>43.95</v>
      </c>
      <c r="E50" s="59">
        <v>3076.5</v>
      </c>
      <c r="F50">
        <f>VLOOKUP(RevenueTable[[#This Row],[Units Sold]],Discounttable[],2)</f>
        <v>0.375</v>
      </c>
      <c r="G50">
        <f>ROUND((1-RevenueTable[[#This Row],[Discount on Total Revenue]])*RevenueTable[[#This Row],[Total Revenue]],2)</f>
        <v>1922.81</v>
      </c>
    </row>
    <row r="51" spans="1:7" x14ac:dyDescent="0.3">
      <c r="A51" s="46">
        <v>43043</v>
      </c>
      <c r="B51" t="s">
        <v>7</v>
      </c>
      <c r="C51">
        <v>173</v>
      </c>
      <c r="D51" s="59">
        <v>43.95</v>
      </c>
      <c r="E51" s="59">
        <v>7603.35</v>
      </c>
      <c r="F51">
        <f>VLOOKUP(RevenueTable[[#This Row],[Units Sold]],Discounttable[],2)</f>
        <v>0.55000000000000004</v>
      </c>
      <c r="G51">
        <f>ROUND((1-RevenueTable[[#This Row],[Discount on Total Revenue]])*RevenueTable[[#This Row],[Total Revenue]],2)</f>
        <v>3421.51</v>
      </c>
    </row>
    <row r="52" spans="1:7" x14ac:dyDescent="0.3">
      <c r="A52" s="46">
        <v>43044</v>
      </c>
      <c r="B52" t="s">
        <v>5</v>
      </c>
      <c r="C52">
        <v>54</v>
      </c>
      <c r="D52" s="59">
        <v>22.95</v>
      </c>
      <c r="E52" s="59">
        <v>1239.3</v>
      </c>
      <c r="F52">
        <f>VLOOKUP(RevenueTable[[#This Row],[Units Sold]],Discounttable[],2)</f>
        <v>0.375</v>
      </c>
      <c r="G52">
        <f>ROUND((1-RevenueTable[[#This Row],[Discount on Total Revenue]])*RevenueTable[[#This Row],[Total Revenue]],2)</f>
        <v>774.56</v>
      </c>
    </row>
    <row r="53" spans="1:7" x14ac:dyDescent="0.3">
      <c r="A53" s="46">
        <v>43041</v>
      </c>
      <c r="B53" t="s">
        <v>5</v>
      </c>
      <c r="C53">
        <v>122</v>
      </c>
      <c r="D53" s="59">
        <v>22.95</v>
      </c>
      <c r="E53" s="59">
        <v>2799.9</v>
      </c>
      <c r="F53">
        <f>VLOOKUP(RevenueTable[[#This Row],[Units Sold]],Discounttable[],2)</f>
        <v>0.4375</v>
      </c>
      <c r="G53">
        <f>ROUND((1-RevenueTable[[#This Row],[Discount on Total Revenue]])*RevenueTable[[#This Row],[Total Revenue]],2)</f>
        <v>1574.94</v>
      </c>
    </row>
    <row r="54" spans="1:7" x14ac:dyDescent="0.3">
      <c r="A54" s="46">
        <v>43040</v>
      </c>
      <c r="B54" t="s">
        <v>13</v>
      </c>
      <c r="C54">
        <v>3</v>
      </c>
      <c r="D54" s="59">
        <v>14.95</v>
      </c>
      <c r="E54" s="59">
        <v>44.849999999999994</v>
      </c>
      <c r="F54">
        <f>VLOOKUP(RevenueTable[[#This Row],[Units Sold]],Discounttable[],2)</f>
        <v>0</v>
      </c>
      <c r="G54">
        <f>ROUND((1-RevenueTable[[#This Row],[Discount on Total Revenue]])*RevenueTable[[#This Row],[Total Revenue]],2)</f>
        <v>44.85</v>
      </c>
    </row>
    <row r="55" spans="1:7" x14ac:dyDescent="0.3">
      <c r="A55" s="46">
        <v>43042</v>
      </c>
      <c r="B55" t="s">
        <v>8</v>
      </c>
      <c r="C55">
        <v>122</v>
      </c>
      <c r="D55" s="59">
        <v>21.95</v>
      </c>
      <c r="E55" s="59">
        <v>2677.9</v>
      </c>
      <c r="F55">
        <f>VLOOKUP(RevenueTable[[#This Row],[Units Sold]],Discounttable[],2)</f>
        <v>0.4375</v>
      </c>
      <c r="G55">
        <f>ROUND((1-RevenueTable[[#This Row],[Discount on Total Revenue]])*RevenueTable[[#This Row],[Total Revenue]],2)</f>
        <v>1506.32</v>
      </c>
    </row>
    <row r="56" spans="1:7" x14ac:dyDescent="0.3">
      <c r="A56" s="46">
        <v>43041</v>
      </c>
      <c r="B56" t="s">
        <v>8</v>
      </c>
      <c r="C56">
        <v>81</v>
      </c>
      <c r="D56" s="59">
        <v>21.95</v>
      </c>
      <c r="E56" s="59">
        <v>1777.95</v>
      </c>
      <c r="F56">
        <f>VLOOKUP(RevenueTable[[#This Row],[Units Sold]],Discounttable[],2)</f>
        <v>0.375</v>
      </c>
      <c r="G56">
        <f>ROUND((1-RevenueTable[[#This Row],[Discount on Total Revenue]])*RevenueTable[[#This Row],[Total Revenue]],2)</f>
        <v>1111.22</v>
      </c>
    </row>
    <row r="57" spans="1:7" x14ac:dyDescent="0.3">
      <c r="A57" s="46">
        <v>43045</v>
      </c>
      <c r="B57" t="s">
        <v>8</v>
      </c>
      <c r="C57">
        <v>21</v>
      </c>
      <c r="D57" s="59">
        <v>21.95</v>
      </c>
      <c r="E57" s="59">
        <v>460.95</v>
      </c>
      <c r="F57">
        <f>VLOOKUP(RevenueTable[[#This Row],[Units Sold]],Discounttable[],2)</f>
        <v>0.25</v>
      </c>
      <c r="G57">
        <f>ROUND((1-RevenueTable[[#This Row],[Discount on Total Revenue]])*RevenueTable[[#This Row],[Total Revenue]],2)</f>
        <v>345.71</v>
      </c>
    </row>
    <row r="58" spans="1:7" x14ac:dyDescent="0.3">
      <c r="A58" s="46">
        <v>43042</v>
      </c>
      <c r="B58" t="s">
        <v>5</v>
      </c>
      <c r="C58">
        <v>144</v>
      </c>
      <c r="D58" s="59">
        <v>22.95</v>
      </c>
      <c r="E58" s="59">
        <v>3304.7999999999997</v>
      </c>
      <c r="F58">
        <f>VLOOKUP(RevenueTable[[#This Row],[Units Sold]],Discounttable[],2)</f>
        <v>0.5</v>
      </c>
      <c r="G58">
        <f>ROUND((1-RevenueTable[[#This Row],[Discount on Total Revenue]])*RevenueTable[[#This Row],[Total Revenue]],2)</f>
        <v>1652.4</v>
      </c>
    </row>
    <row r="59" spans="1:7" x14ac:dyDescent="0.3">
      <c r="A59" s="46">
        <v>43046</v>
      </c>
      <c r="B59" t="s">
        <v>13</v>
      </c>
      <c r="C59">
        <v>139</v>
      </c>
      <c r="D59" s="59">
        <v>14.95</v>
      </c>
      <c r="E59" s="59">
        <v>2078.0499999999997</v>
      </c>
      <c r="F59">
        <f>VLOOKUP(RevenueTable[[#This Row],[Units Sold]],Discounttable[],2)</f>
        <v>0.4375</v>
      </c>
      <c r="G59">
        <f>ROUND((1-RevenueTable[[#This Row],[Discount on Total Revenue]])*RevenueTable[[#This Row],[Total Revenue]],2)</f>
        <v>1168.9000000000001</v>
      </c>
    </row>
    <row r="60" spans="1:7" x14ac:dyDescent="0.3">
      <c r="A60" s="46">
        <v>43042</v>
      </c>
      <c r="B60" t="s">
        <v>13</v>
      </c>
      <c r="C60">
        <v>105</v>
      </c>
      <c r="D60" s="59">
        <v>14.95</v>
      </c>
      <c r="E60" s="59">
        <v>1569.75</v>
      </c>
      <c r="F60">
        <f>VLOOKUP(RevenueTable[[#This Row],[Units Sold]],Discounttable[],2)</f>
        <v>0.4375</v>
      </c>
      <c r="G60">
        <f>ROUND((1-RevenueTable[[#This Row],[Discount on Total Revenue]])*RevenueTable[[#This Row],[Total Revenue]],2)</f>
        <v>882.98</v>
      </c>
    </row>
    <row r="61" spans="1:7" x14ac:dyDescent="0.3">
      <c r="A61" s="46">
        <v>43043</v>
      </c>
      <c r="B61" t="s">
        <v>5</v>
      </c>
      <c r="C61">
        <v>14</v>
      </c>
      <c r="D61" s="59">
        <v>22.95</v>
      </c>
      <c r="E61" s="59">
        <v>321.3</v>
      </c>
      <c r="F61">
        <f>VLOOKUP(RevenueTable[[#This Row],[Units Sold]],Discounttable[],2)</f>
        <v>0.25</v>
      </c>
      <c r="G61">
        <f>ROUND((1-RevenueTable[[#This Row],[Discount on Total Revenue]])*RevenueTable[[#This Row],[Total Revenue]],2)</f>
        <v>240.98</v>
      </c>
    </row>
    <row r="62" spans="1:7" x14ac:dyDescent="0.3">
      <c r="A62" s="46">
        <v>43043</v>
      </c>
      <c r="B62" t="s">
        <v>5</v>
      </c>
      <c r="C62">
        <v>95</v>
      </c>
      <c r="D62" s="59">
        <v>22.95</v>
      </c>
      <c r="E62" s="59">
        <v>2180.25</v>
      </c>
      <c r="F62">
        <f>VLOOKUP(RevenueTable[[#This Row],[Units Sold]],Discounttable[],2)</f>
        <v>0.375</v>
      </c>
      <c r="G62">
        <f>ROUND((1-RevenueTable[[#This Row],[Discount on Total Revenue]])*RevenueTable[[#This Row],[Total Revenue]],2)</f>
        <v>1362.66</v>
      </c>
    </row>
    <row r="63" spans="1:7" x14ac:dyDescent="0.3">
      <c r="A63" s="46">
        <v>43042</v>
      </c>
      <c r="B63" t="s">
        <v>7</v>
      </c>
      <c r="C63">
        <v>142</v>
      </c>
      <c r="D63" s="59">
        <v>43.95</v>
      </c>
      <c r="E63" s="59">
        <v>6240.9000000000005</v>
      </c>
      <c r="F63">
        <f>VLOOKUP(RevenueTable[[#This Row],[Units Sold]],Discounttable[],2)</f>
        <v>0.4375</v>
      </c>
      <c r="G63">
        <f>ROUND((1-RevenueTable[[#This Row],[Discount on Total Revenue]])*RevenueTable[[#This Row],[Total Revenue]],2)</f>
        <v>3510.51</v>
      </c>
    </row>
    <row r="64" spans="1:7" x14ac:dyDescent="0.3">
      <c r="A64" s="46">
        <v>43040</v>
      </c>
      <c r="B64" t="s">
        <v>13</v>
      </c>
      <c r="C64">
        <v>150</v>
      </c>
      <c r="D64" s="59">
        <v>14.95</v>
      </c>
      <c r="E64" s="59">
        <v>2242.5</v>
      </c>
      <c r="F64">
        <f>VLOOKUP(RevenueTable[[#This Row],[Units Sold]],Discounttable[],2)</f>
        <v>0.5</v>
      </c>
      <c r="G64">
        <f>ROUND((1-RevenueTable[[#This Row],[Discount on Total Revenue]])*RevenueTable[[#This Row],[Total Revenue]],2)</f>
        <v>1121.25</v>
      </c>
    </row>
    <row r="65" spans="1:7" x14ac:dyDescent="0.3">
      <c r="A65" s="46">
        <v>43045</v>
      </c>
      <c r="B65" t="s">
        <v>8</v>
      </c>
      <c r="C65">
        <v>79</v>
      </c>
      <c r="D65" s="59">
        <v>21.95</v>
      </c>
      <c r="E65" s="59">
        <v>1734.05</v>
      </c>
      <c r="F65">
        <f>VLOOKUP(RevenueTable[[#This Row],[Units Sold]],Discounttable[],2)</f>
        <v>0.375</v>
      </c>
      <c r="G65">
        <f>ROUND((1-RevenueTable[[#This Row],[Discount on Total Revenue]])*RevenueTable[[#This Row],[Total Revenue]],2)</f>
        <v>1083.78</v>
      </c>
    </row>
    <row r="66" spans="1:7" x14ac:dyDescent="0.3">
      <c r="A66" s="46">
        <v>43040</v>
      </c>
      <c r="B66" t="s">
        <v>13</v>
      </c>
      <c r="C66">
        <v>57</v>
      </c>
      <c r="D66" s="59">
        <v>14.95</v>
      </c>
      <c r="E66" s="59">
        <v>852.15</v>
      </c>
      <c r="F66">
        <f>VLOOKUP(RevenueTable[[#This Row],[Units Sold]],Discounttable[],2)</f>
        <v>0.375</v>
      </c>
      <c r="G66">
        <f>ROUND((1-RevenueTable[[#This Row],[Discount on Total Revenue]])*RevenueTable[[#This Row],[Total Revenue]],2)</f>
        <v>532.59</v>
      </c>
    </row>
    <row r="67" spans="1:7" x14ac:dyDescent="0.3">
      <c r="A67" s="46">
        <v>43043</v>
      </c>
      <c r="B67" t="s">
        <v>13</v>
      </c>
      <c r="C67">
        <v>62</v>
      </c>
      <c r="D67" s="59">
        <v>14.95</v>
      </c>
      <c r="E67" s="59">
        <v>926.9</v>
      </c>
      <c r="F67">
        <f>VLOOKUP(RevenueTable[[#This Row],[Units Sold]],Discounttable[],2)</f>
        <v>0.375</v>
      </c>
      <c r="G67">
        <f>ROUND((1-RevenueTable[[#This Row],[Discount on Total Revenue]])*RevenueTable[[#This Row],[Total Revenue]],2)</f>
        <v>579.30999999999995</v>
      </c>
    </row>
    <row r="68" spans="1:7" x14ac:dyDescent="0.3">
      <c r="A68" s="46">
        <v>43041</v>
      </c>
      <c r="B68" t="s">
        <v>13</v>
      </c>
      <c r="C68">
        <v>177</v>
      </c>
      <c r="D68" s="59">
        <v>14.95</v>
      </c>
      <c r="E68" s="59">
        <v>2646.15</v>
      </c>
      <c r="F68">
        <f>VLOOKUP(RevenueTable[[#This Row],[Units Sold]],Discounttable[],2)</f>
        <v>0.55000000000000004</v>
      </c>
      <c r="G68">
        <f>ROUND((1-RevenueTable[[#This Row],[Discount on Total Revenue]])*RevenueTable[[#This Row],[Total Revenue]],2)</f>
        <v>1190.77</v>
      </c>
    </row>
    <row r="69" spans="1:7" x14ac:dyDescent="0.3">
      <c r="A69" s="46">
        <v>43044</v>
      </c>
      <c r="B69" t="s">
        <v>5</v>
      </c>
      <c r="C69">
        <v>165</v>
      </c>
      <c r="D69" s="59">
        <v>22.95</v>
      </c>
      <c r="E69" s="59">
        <v>3786.75</v>
      </c>
      <c r="F69">
        <f>VLOOKUP(RevenueTable[[#This Row],[Units Sold]],Discounttable[],2)</f>
        <v>0.5</v>
      </c>
      <c r="G69">
        <f>ROUND((1-RevenueTable[[#This Row],[Discount on Total Revenue]])*RevenueTable[[#This Row],[Total Revenue]],2)</f>
        <v>1893.38</v>
      </c>
    </row>
    <row r="70" spans="1:7" x14ac:dyDescent="0.3">
      <c r="A70" s="46">
        <v>43041</v>
      </c>
      <c r="B70" t="s">
        <v>8</v>
      </c>
      <c r="C70">
        <v>37</v>
      </c>
      <c r="D70" s="59">
        <v>21.95</v>
      </c>
      <c r="E70" s="59">
        <v>812.15</v>
      </c>
      <c r="F70">
        <f>VLOOKUP(RevenueTable[[#This Row],[Units Sold]],Discounttable[],2)</f>
        <v>0.25</v>
      </c>
      <c r="G70">
        <f>ROUND((1-RevenueTable[[#This Row],[Discount on Total Revenue]])*RevenueTable[[#This Row],[Total Revenue]],2)</f>
        <v>609.11</v>
      </c>
    </row>
    <row r="71" spans="1:7" x14ac:dyDescent="0.3">
      <c r="A71" s="46">
        <v>43044</v>
      </c>
      <c r="B71" t="s">
        <v>8</v>
      </c>
      <c r="C71">
        <v>181</v>
      </c>
      <c r="D71" s="59">
        <v>21.95</v>
      </c>
      <c r="E71" s="59">
        <v>3972.95</v>
      </c>
      <c r="F71">
        <f>VLOOKUP(RevenueTable[[#This Row],[Units Sold]],Discounttable[],2)</f>
        <v>0.55000000000000004</v>
      </c>
      <c r="G71">
        <f>ROUND((1-RevenueTable[[#This Row],[Discount on Total Revenue]])*RevenueTable[[#This Row],[Total Revenue]],2)</f>
        <v>1787.83</v>
      </c>
    </row>
    <row r="72" spans="1:7" x14ac:dyDescent="0.3">
      <c r="A72" s="46">
        <v>43043</v>
      </c>
      <c r="B72" t="s">
        <v>8</v>
      </c>
      <c r="C72">
        <v>148</v>
      </c>
      <c r="D72" s="59">
        <v>21.95</v>
      </c>
      <c r="E72" s="59">
        <v>3248.6</v>
      </c>
      <c r="F72">
        <f>VLOOKUP(RevenueTable[[#This Row],[Units Sold]],Discounttable[],2)</f>
        <v>0.5</v>
      </c>
      <c r="G72">
        <f>ROUND((1-RevenueTable[[#This Row],[Discount on Total Revenue]])*RevenueTable[[#This Row],[Total Revenue]],2)</f>
        <v>1624.3</v>
      </c>
    </row>
    <row r="73" spans="1:7" x14ac:dyDescent="0.3">
      <c r="A73" s="46">
        <v>43047</v>
      </c>
      <c r="B73" t="s">
        <v>5</v>
      </c>
      <c r="C73">
        <v>132</v>
      </c>
      <c r="D73" s="59">
        <v>22.95</v>
      </c>
      <c r="E73" s="59">
        <v>3029.4</v>
      </c>
      <c r="F73">
        <f>VLOOKUP(RevenueTable[[#This Row],[Units Sold]],Discounttable[],2)</f>
        <v>0.4375</v>
      </c>
      <c r="G73">
        <f>ROUND((1-RevenueTable[[#This Row],[Discount on Total Revenue]])*RevenueTable[[#This Row],[Total Revenue]],2)</f>
        <v>1704.04</v>
      </c>
    </row>
    <row r="74" spans="1:7" x14ac:dyDescent="0.3">
      <c r="A74" s="46">
        <v>43045</v>
      </c>
      <c r="B74" t="s">
        <v>13</v>
      </c>
      <c r="C74">
        <v>3</v>
      </c>
      <c r="D74" s="59">
        <v>14.95</v>
      </c>
      <c r="E74" s="59">
        <v>44.849999999999994</v>
      </c>
      <c r="F74">
        <f>VLOOKUP(RevenueTable[[#This Row],[Units Sold]],Discounttable[],2)</f>
        <v>0</v>
      </c>
      <c r="G74">
        <f>ROUND((1-RevenueTable[[#This Row],[Discount on Total Revenue]])*RevenueTable[[#This Row],[Total Revenue]],2)</f>
        <v>44.85</v>
      </c>
    </row>
    <row r="75" spans="1:7" x14ac:dyDescent="0.3">
      <c r="A75" s="46">
        <v>43040</v>
      </c>
      <c r="B75" t="s">
        <v>13</v>
      </c>
      <c r="C75">
        <v>121</v>
      </c>
      <c r="D75" s="59">
        <v>14.95</v>
      </c>
      <c r="E75" s="59">
        <v>1808.9499999999998</v>
      </c>
      <c r="F75">
        <f>VLOOKUP(RevenueTable[[#This Row],[Units Sold]],Discounttable[],2)</f>
        <v>0.4375</v>
      </c>
      <c r="G75">
        <f>ROUND((1-RevenueTable[[#This Row],[Discount on Total Revenue]])*RevenueTable[[#This Row],[Total Revenue]],2)</f>
        <v>1017.53</v>
      </c>
    </row>
    <row r="76" spans="1:7" x14ac:dyDescent="0.3">
      <c r="A76" s="46">
        <v>43047</v>
      </c>
      <c r="B76" t="s">
        <v>8</v>
      </c>
      <c r="C76">
        <v>104</v>
      </c>
      <c r="D76" s="59">
        <v>21.95</v>
      </c>
      <c r="E76" s="59">
        <v>2282.7999999999997</v>
      </c>
      <c r="F76">
        <f>VLOOKUP(RevenueTable[[#This Row],[Units Sold]],Discounttable[],2)</f>
        <v>0.4375</v>
      </c>
      <c r="G76">
        <f>ROUND((1-RevenueTable[[#This Row],[Discount on Total Revenue]])*RevenueTable[[#This Row],[Total Revenue]],2)</f>
        <v>1284.08</v>
      </c>
    </row>
    <row r="77" spans="1:7" x14ac:dyDescent="0.3">
      <c r="A77" s="46">
        <v>43047</v>
      </c>
      <c r="B77" t="s">
        <v>8</v>
      </c>
      <c r="C77">
        <v>155</v>
      </c>
      <c r="D77" s="59">
        <v>21.95</v>
      </c>
      <c r="E77" s="59">
        <v>3402.25</v>
      </c>
      <c r="F77">
        <f>VLOOKUP(RevenueTable[[#This Row],[Units Sold]],Discounttable[],2)</f>
        <v>0.5</v>
      </c>
      <c r="G77">
        <f>ROUND((1-RevenueTable[[#This Row],[Discount on Total Revenue]])*RevenueTable[[#This Row],[Total Revenue]],2)</f>
        <v>1701.13</v>
      </c>
    </row>
    <row r="78" spans="1:7" x14ac:dyDescent="0.3">
      <c r="A78" s="46">
        <v>43045</v>
      </c>
      <c r="B78" t="s">
        <v>13</v>
      </c>
      <c r="C78">
        <v>129</v>
      </c>
      <c r="D78" s="59">
        <v>14.95</v>
      </c>
      <c r="E78" s="59">
        <v>1928.55</v>
      </c>
      <c r="F78">
        <f>VLOOKUP(RevenueTable[[#This Row],[Units Sold]],Discounttable[],2)</f>
        <v>0.4375</v>
      </c>
      <c r="G78">
        <f>ROUND((1-RevenueTable[[#This Row],[Discount on Total Revenue]])*RevenueTable[[#This Row],[Total Revenue]],2)</f>
        <v>1084.81</v>
      </c>
    </row>
    <row r="79" spans="1:7" x14ac:dyDescent="0.3">
      <c r="A79" s="46">
        <v>43040</v>
      </c>
      <c r="B79" t="s">
        <v>13</v>
      </c>
      <c r="C79">
        <v>72</v>
      </c>
      <c r="D79" s="59">
        <v>14.95</v>
      </c>
      <c r="E79" s="59">
        <v>1076.3999999999999</v>
      </c>
      <c r="F79">
        <f>VLOOKUP(RevenueTable[[#This Row],[Units Sold]],Discounttable[],2)</f>
        <v>0.375</v>
      </c>
      <c r="G79">
        <f>ROUND((1-RevenueTable[[#This Row],[Discount on Total Revenue]])*RevenueTable[[#This Row],[Total Revenue]],2)</f>
        <v>672.75</v>
      </c>
    </row>
    <row r="80" spans="1:7" x14ac:dyDescent="0.3">
      <c r="A80" s="46">
        <v>43044</v>
      </c>
      <c r="B80" t="s">
        <v>7</v>
      </c>
      <c r="C80">
        <v>164</v>
      </c>
      <c r="D80" s="59">
        <v>43.95</v>
      </c>
      <c r="E80" s="59">
        <v>7207.8</v>
      </c>
      <c r="F80">
        <f>VLOOKUP(RevenueTable[[#This Row],[Units Sold]],Discounttable[],2)</f>
        <v>0.5</v>
      </c>
      <c r="G80">
        <f>ROUND((1-RevenueTable[[#This Row],[Discount on Total Revenue]])*RevenueTable[[#This Row],[Total Revenue]],2)</f>
        <v>3603.9</v>
      </c>
    </row>
    <row r="81" spans="1:7" x14ac:dyDescent="0.3">
      <c r="A81" s="46">
        <v>43042</v>
      </c>
      <c r="B81" t="s">
        <v>13</v>
      </c>
      <c r="C81">
        <v>6</v>
      </c>
      <c r="D81" s="59">
        <v>14.95</v>
      </c>
      <c r="E81" s="59">
        <v>89.699999999999989</v>
      </c>
      <c r="F81">
        <f>VLOOKUP(RevenueTable[[#This Row],[Units Sold]],Discounttable[],2)</f>
        <v>0</v>
      </c>
      <c r="G81">
        <f>ROUND((1-RevenueTable[[#This Row],[Discount on Total Revenue]])*RevenueTable[[#This Row],[Total Revenue]],2)</f>
        <v>89.7</v>
      </c>
    </row>
    <row r="82" spans="1:7" x14ac:dyDescent="0.3">
      <c r="A82" s="46">
        <v>43040</v>
      </c>
      <c r="B82" t="s">
        <v>8</v>
      </c>
      <c r="C82">
        <v>46</v>
      </c>
      <c r="D82" s="59">
        <v>21.95</v>
      </c>
      <c r="E82" s="59">
        <v>1009.6999999999999</v>
      </c>
      <c r="F82">
        <f>VLOOKUP(RevenueTable[[#This Row],[Units Sold]],Discounttable[],2)</f>
        <v>0.25</v>
      </c>
      <c r="G82">
        <f>ROUND((1-RevenueTable[[#This Row],[Discount on Total Revenue]])*RevenueTable[[#This Row],[Total Revenue]],2)</f>
        <v>757.28</v>
      </c>
    </row>
    <row r="83" spans="1:7" x14ac:dyDescent="0.3">
      <c r="A83" s="46">
        <v>43047</v>
      </c>
      <c r="B83" t="s">
        <v>13</v>
      </c>
      <c r="C83">
        <v>182</v>
      </c>
      <c r="D83" s="59">
        <v>14.95</v>
      </c>
      <c r="E83" s="59">
        <v>2720.9</v>
      </c>
      <c r="F83">
        <f>VLOOKUP(RevenueTable[[#This Row],[Units Sold]],Discounttable[],2)</f>
        <v>0.55000000000000004</v>
      </c>
      <c r="G83">
        <f>ROUND((1-RevenueTable[[#This Row],[Discount on Total Revenue]])*RevenueTable[[#This Row],[Total Revenue]],2)</f>
        <v>1224.4100000000001</v>
      </c>
    </row>
    <row r="84" spans="1:7" x14ac:dyDescent="0.3">
      <c r="A84" s="46">
        <v>43041</v>
      </c>
      <c r="B84" t="s">
        <v>13</v>
      </c>
      <c r="C84">
        <v>11</v>
      </c>
      <c r="D84" s="59">
        <v>14.95</v>
      </c>
      <c r="E84" s="59">
        <v>164.45</v>
      </c>
      <c r="F84">
        <f>VLOOKUP(RevenueTable[[#This Row],[Units Sold]],Discounttable[],2)</f>
        <v>0</v>
      </c>
      <c r="G84">
        <f>ROUND((1-RevenueTable[[#This Row],[Discount on Total Revenue]])*RevenueTable[[#This Row],[Total Revenue]],2)</f>
        <v>164.45</v>
      </c>
    </row>
    <row r="85" spans="1:7" x14ac:dyDescent="0.3">
      <c r="A85" s="46">
        <v>43047</v>
      </c>
      <c r="B85" t="s">
        <v>7</v>
      </c>
      <c r="C85">
        <v>18</v>
      </c>
      <c r="D85" s="59">
        <v>43.95</v>
      </c>
      <c r="E85" s="59">
        <v>791.1</v>
      </c>
      <c r="F85">
        <f>VLOOKUP(RevenueTable[[#This Row],[Units Sold]],Discounttable[],2)</f>
        <v>0.25</v>
      </c>
      <c r="G85">
        <f>ROUND((1-RevenueTable[[#This Row],[Discount on Total Revenue]])*RevenueTable[[#This Row],[Total Revenue]],2)</f>
        <v>593.33000000000004</v>
      </c>
    </row>
    <row r="86" spans="1:7" x14ac:dyDescent="0.3">
      <c r="A86" s="46">
        <v>43045</v>
      </c>
      <c r="B86" t="s">
        <v>13</v>
      </c>
      <c r="C86">
        <v>152</v>
      </c>
      <c r="D86" s="59">
        <v>14.95</v>
      </c>
      <c r="E86" s="59">
        <v>2272.4</v>
      </c>
      <c r="F86">
        <f>VLOOKUP(RevenueTable[[#This Row],[Units Sold]],Discounttable[],2)</f>
        <v>0.5</v>
      </c>
      <c r="G86">
        <f>ROUND((1-RevenueTable[[#This Row],[Discount on Total Revenue]])*RevenueTable[[#This Row],[Total Revenue]],2)</f>
        <v>1136.2</v>
      </c>
    </row>
    <row r="87" spans="1:7" x14ac:dyDescent="0.3">
      <c r="A87" s="46">
        <v>43040</v>
      </c>
      <c r="B87" t="s">
        <v>8</v>
      </c>
      <c r="C87">
        <v>41</v>
      </c>
      <c r="D87" s="59">
        <v>21.95</v>
      </c>
      <c r="E87" s="59">
        <v>899.94999999999993</v>
      </c>
      <c r="F87">
        <f>VLOOKUP(RevenueTable[[#This Row],[Units Sold]],Discounttable[],2)</f>
        <v>0.25</v>
      </c>
      <c r="G87">
        <f>ROUND((1-RevenueTable[[#This Row],[Discount on Total Revenue]])*RevenueTable[[#This Row],[Total Revenue]],2)</f>
        <v>674.96</v>
      </c>
    </row>
    <row r="88" spans="1:7" x14ac:dyDescent="0.3">
      <c r="A88" s="46">
        <v>43045</v>
      </c>
      <c r="B88" t="s">
        <v>13</v>
      </c>
      <c r="C88">
        <v>11</v>
      </c>
      <c r="D88" s="59">
        <v>14.95</v>
      </c>
      <c r="E88" s="59">
        <v>164.45</v>
      </c>
      <c r="F88">
        <f>VLOOKUP(RevenueTable[[#This Row],[Units Sold]],Discounttable[],2)</f>
        <v>0</v>
      </c>
      <c r="G88">
        <f>ROUND((1-RevenueTable[[#This Row],[Discount on Total Revenue]])*RevenueTable[[#This Row],[Total Revenue]],2)</f>
        <v>164.45</v>
      </c>
    </row>
    <row r="89" spans="1:7" x14ac:dyDescent="0.3">
      <c r="A89" s="46">
        <v>43047</v>
      </c>
      <c r="B89" t="s">
        <v>13</v>
      </c>
      <c r="C89">
        <v>148</v>
      </c>
      <c r="D89" s="59">
        <v>14.95</v>
      </c>
      <c r="E89" s="59">
        <v>2212.6</v>
      </c>
      <c r="F89">
        <f>VLOOKUP(RevenueTable[[#This Row],[Units Sold]],Discounttable[],2)</f>
        <v>0.5</v>
      </c>
      <c r="G89">
        <f>ROUND((1-RevenueTable[[#This Row],[Discount on Total Revenue]])*RevenueTable[[#This Row],[Total Revenue]],2)</f>
        <v>1106.3</v>
      </c>
    </row>
    <row r="90" spans="1:7" x14ac:dyDescent="0.3">
      <c r="A90" s="46">
        <v>43044</v>
      </c>
      <c r="B90" t="s">
        <v>13</v>
      </c>
      <c r="C90">
        <v>154</v>
      </c>
      <c r="D90" s="59">
        <v>14.95</v>
      </c>
      <c r="E90" s="59">
        <v>2302.2999999999997</v>
      </c>
      <c r="F90">
        <f>VLOOKUP(RevenueTable[[#This Row],[Units Sold]],Discounttable[],2)</f>
        <v>0.5</v>
      </c>
      <c r="G90">
        <f>ROUND((1-RevenueTable[[#This Row],[Discount on Total Revenue]])*RevenueTable[[#This Row],[Total Revenue]],2)</f>
        <v>1151.1500000000001</v>
      </c>
    </row>
    <row r="91" spans="1:7" x14ac:dyDescent="0.3">
      <c r="A91" s="46">
        <v>43041</v>
      </c>
      <c r="B91" t="s">
        <v>8</v>
      </c>
      <c r="C91">
        <v>115</v>
      </c>
      <c r="D91" s="59">
        <v>21.95</v>
      </c>
      <c r="E91" s="59">
        <v>2524.25</v>
      </c>
      <c r="F91">
        <f>VLOOKUP(RevenueTable[[#This Row],[Units Sold]],Discounttable[],2)</f>
        <v>0.4375</v>
      </c>
      <c r="G91">
        <f>ROUND((1-RevenueTable[[#This Row],[Discount on Total Revenue]])*RevenueTable[[#This Row],[Total Revenue]],2)</f>
        <v>1419.89</v>
      </c>
    </row>
    <row r="92" spans="1:7" x14ac:dyDescent="0.3">
      <c r="A92" s="46">
        <v>43046</v>
      </c>
      <c r="B92" t="s">
        <v>7</v>
      </c>
      <c r="C92">
        <v>122</v>
      </c>
      <c r="D92" s="59">
        <v>43.95</v>
      </c>
      <c r="E92" s="59">
        <v>5361.9000000000005</v>
      </c>
      <c r="F92">
        <f>VLOOKUP(RevenueTable[[#This Row],[Units Sold]],Discounttable[],2)</f>
        <v>0.4375</v>
      </c>
      <c r="G92">
        <f>ROUND((1-RevenueTable[[#This Row],[Discount on Total Revenue]])*RevenueTable[[#This Row],[Total Revenue]],2)</f>
        <v>3016.07</v>
      </c>
    </row>
    <row r="93" spans="1:7" x14ac:dyDescent="0.3">
      <c r="A93" s="46">
        <v>43047</v>
      </c>
      <c r="B93" t="s">
        <v>13</v>
      </c>
      <c r="C93">
        <v>3</v>
      </c>
      <c r="D93" s="59">
        <v>14.95</v>
      </c>
      <c r="E93" s="59">
        <v>44.849999999999994</v>
      </c>
      <c r="F93">
        <f>VLOOKUP(RevenueTable[[#This Row],[Units Sold]],Discounttable[],2)</f>
        <v>0</v>
      </c>
      <c r="G93">
        <f>ROUND((1-RevenueTable[[#This Row],[Discount on Total Revenue]])*RevenueTable[[#This Row],[Total Revenue]],2)</f>
        <v>44.85</v>
      </c>
    </row>
    <row r="94" spans="1:7" x14ac:dyDescent="0.3">
      <c r="A94" s="46">
        <v>43046</v>
      </c>
      <c r="B94" t="s">
        <v>7</v>
      </c>
      <c r="C94">
        <v>26</v>
      </c>
      <c r="D94" s="59">
        <v>43.95</v>
      </c>
      <c r="E94" s="59">
        <v>1142.7</v>
      </c>
      <c r="F94">
        <f>VLOOKUP(RevenueTable[[#This Row],[Units Sold]],Discounttable[],2)</f>
        <v>0.25</v>
      </c>
      <c r="G94">
        <f>ROUND((1-RevenueTable[[#This Row],[Discount on Total Revenue]])*RevenueTable[[#This Row],[Total Revenue]],2)</f>
        <v>857.03</v>
      </c>
    </row>
    <row r="95" spans="1:7" x14ac:dyDescent="0.3">
      <c r="A95" s="46">
        <v>43043</v>
      </c>
      <c r="B95" t="s">
        <v>5</v>
      </c>
      <c r="C95">
        <v>162</v>
      </c>
      <c r="D95" s="59">
        <v>22.95</v>
      </c>
      <c r="E95" s="59">
        <v>3717.9</v>
      </c>
      <c r="F95">
        <f>VLOOKUP(RevenueTable[[#This Row],[Units Sold]],Discounttable[],2)</f>
        <v>0.5</v>
      </c>
      <c r="G95">
        <f>ROUND((1-RevenueTable[[#This Row],[Discount on Total Revenue]])*RevenueTable[[#This Row],[Total Revenue]],2)</f>
        <v>1858.95</v>
      </c>
    </row>
    <row r="96" spans="1:7" x14ac:dyDescent="0.3">
      <c r="A96" s="46">
        <v>43046</v>
      </c>
      <c r="B96" t="s">
        <v>7</v>
      </c>
      <c r="C96">
        <v>21</v>
      </c>
      <c r="D96" s="59">
        <v>43.95</v>
      </c>
      <c r="E96" s="59">
        <v>922.95</v>
      </c>
      <c r="F96">
        <f>VLOOKUP(RevenueTable[[#This Row],[Units Sold]],Discounttable[],2)</f>
        <v>0.25</v>
      </c>
      <c r="G96">
        <f>ROUND((1-RevenueTable[[#This Row],[Discount on Total Revenue]])*RevenueTable[[#This Row],[Total Revenue]],2)</f>
        <v>692.21</v>
      </c>
    </row>
    <row r="97" spans="1:7" x14ac:dyDescent="0.3">
      <c r="A97" s="46">
        <v>43042</v>
      </c>
      <c r="B97" t="s">
        <v>7</v>
      </c>
      <c r="C97">
        <v>42</v>
      </c>
      <c r="D97" s="59">
        <v>43.95</v>
      </c>
      <c r="E97" s="59">
        <v>1845.9</v>
      </c>
      <c r="F97">
        <f>VLOOKUP(RevenueTable[[#This Row],[Units Sold]],Discounttable[],2)</f>
        <v>0.25</v>
      </c>
      <c r="G97">
        <f>ROUND((1-RevenueTable[[#This Row],[Discount on Total Revenue]])*RevenueTable[[#This Row],[Total Revenue]],2)</f>
        <v>1384.43</v>
      </c>
    </row>
    <row r="98" spans="1:7" x14ac:dyDescent="0.3">
      <c r="A98" s="46">
        <v>43044</v>
      </c>
      <c r="B98" t="s">
        <v>5</v>
      </c>
      <c r="C98">
        <v>82</v>
      </c>
      <c r="D98" s="59">
        <v>22.95</v>
      </c>
      <c r="E98" s="59">
        <v>1881.8999999999999</v>
      </c>
      <c r="F98">
        <f>VLOOKUP(RevenueTable[[#This Row],[Units Sold]],Discounttable[],2)</f>
        <v>0.375</v>
      </c>
      <c r="G98">
        <f>ROUND((1-RevenueTable[[#This Row],[Discount on Total Revenue]])*RevenueTable[[#This Row],[Total Revenue]],2)</f>
        <v>1176.19</v>
      </c>
    </row>
    <row r="99" spans="1:7" x14ac:dyDescent="0.3">
      <c r="A99" s="46">
        <v>43046</v>
      </c>
      <c r="B99" t="s">
        <v>13</v>
      </c>
      <c r="C99">
        <v>78</v>
      </c>
      <c r="D99" s="59">
        <v>14.95</v>
      </c>
      <c r="E99" s="59">
        <v>1166.0999999999999</v>
      </c>
      <c r="F99">
        <f>VLOOKUP(RevenueTable[[#This Row],[Units Sold]],Discounttable[],2)</f>
        <v>0.375</v>
      </c>
      <c r="G99">
        <f>ROUND((1-RevenueTable[[#This Row],[Discount on Total Revenue]])*RevenueTable[[#This Row],[Total Revenue]],2)</f>
        <v>728.81</v>
      </c>
    </row>
    <row r="100" spans="1:7" x14ac:dyDescent="0.3">
      <c r="A100" s="46">
        <v>43047</v>
      </c>
      <c r="B100" t="s">
        <v>8</v>
      </c>
      <c r="C100">
        <v>127</v>
      </c>
      <c r="D100" s="59">
        <v>21.95</v>
      </c>
      <c r="E100" s="59">
        <v>2787.65</v>
      </c>
      <c r="F100">
        <f>VLOOKUP(RevenueTable[[#This Row],[Units Sold]],Discounttable[],2)</f>
        <v>0.4375</v>
      </c>
      <c r="G100">
        <f>ROUND((1-RevenueTable[[#This Row],[Discount on Total Revenue]])*RevenueTable[[#This Row],[Total Revenue]],2)</f>
        <v>1568.05</v>
      </c>
    </row>
    <row r="101" spans="1:7" x14ac:dyDescent="0.3">
      <c r="A101" s="46">
        <v>43040</v>
      </c>
      <c r="B101" t="s">
        <v>7</v>
      </c>
      <c r="C101">
        <v>64</v>
      </c>
      <c r="D101" s="59">
        <v>43.95</v>
      </c>
      <c r="E101" s="59">
        <v>2812.8</v>
      </c>
      <c r="F101">
        <f>VLOOKUP(RevenueTable[[#This Row],[Units Sold]],Discounttable[],2)</f>
        <v>0.375</v>
      </c>
      <c r="G101">
        <f>ROUND((1-RevenueTable[[#This Row],[Discount on Total Revenue]])*RevenueTable[[#This Row],[Total Revenue]],2)</f>
        <v>1758</v>
      </c>
    </row>
    <row r="102" spans="1:7" x14ac:dyDescent="0.3">
      <c r="A102" s="46">
        <v>43044</v>
      </c>
      <c r="B102" t="s">
        <v>7</v>
      </c>
      <c r="C102">
        <v>152</v>
      </c>
      <c r="D102" s="59">
        <v>43.95</v>
      </c>
      <c r="E102" s="59">
        <v>6680.4000000000005</v>
      </c>
      <c r="F102">
        <f>VLOOKUP(RevenueTable[[#This Row],[Units Sold]],Discounttable[],2)</f>
        <v>0.5</v>
      </c>
      <c r="G102">
        <f>ROUND((1-RevenueTable[[#This Row],[Discount on Total Revenue]])*RevenueTable[[#This Row],[Total Revenue]],2)</f>
        <v>3340.2</v>
      </c>
    </row>
    <row r="103" spans="1:7" x14ac:dyDescent="0.3">
      <c r="A103" s="46">
        <v>43042</v>
      </c>
      <c r="B103" t="s">
        <v>13</v>
      </c>
      <c r="C103">
        <v>53</v>
      </c>
      <c r="D103" s="59">
        <v>14.95</v>
      </c>
      <c r="E103" s="59">
        <v>792.34999999999991</v>
      </c>
      <c r="F103">
        <f>VLOOKUP(RevenueTable[[#This Row],[Units Sold]],Discounttable[],2)</f>
        <v>0.375</v>
      </c>
      <c r="G103">
        <f>ROUND((1-RevenueTable[[#This Row],[Discount on Total Revenue]])*RevenueTable[[#This Row],[Total Revenue]],2)</f>
        <v>495.22</v>
      </c>
    </row>
    <row r="104" spans="1:7" x14ac:dyDescent="0.3">
      <c r="A104" s="46">
        <v>43044</v>
      </c>
      <c r="B104" t="s">
        <v>7</v>
      </c>
      <c r="C104">
        <v>11</v>
      </c>
      <c r="D104" s="59">
        <v>43.95</v>
      </c>
      <c r="E104" s="59">
        <v>483.45000000000005</v>
      </c>
      <c r="F104">
        <f>VLOOKUP(RevenueTable[[#This Row],[Units Sold]],Discounttable[],2)</f>
        <v>0</v>
      </c>
      <c r="G104">
        <f>ROUND((1-RevenueTable[[#This Row],[Discount on Total Revenue]])*RevenueTable[[#This Row],[Total Revenue]],2)</f>
        <v>483.45</v>
      </c>
    </row>
    <row r="105" spans="1:7" x14ac:dyDescent="0.3">
      <c r="A105" s="46">
        <v>43043</v>
      </c>
      <c r="B105" t="s">
        <v>5</v>
      </c>
      <c r="C105">
        <v>170</v>
      </c>
      <c r="D105" s="59">
        <v>22.95</v>
      </c>
      <c r="E105" s="59">
        <v>3901.5</v>
      </c>
      <c r="F105">
        <f>VLOOKUP(RevenueTable[[#This Row],[Units Sold]],Discounttable[],2)</f>
        <v>0.55000000000000004</v>
      </c>
      <c r="G105">
        <f>ROUND((1-RevenueTable[[#This Row],[Discount on Total Revenue]])*RevenueTable[[#This Row],[Total Revenue]],2)</f>
        <v>1755.68</v>
      </c>
    </row>
    <row r="106" spans="1:7" x14ac:dyDescent="0.3">
      <c r="A106" s="46">
        <v>43041</v>
      </c>
      <c r="B106" t="s">
        <v>13</v>
      </c>
      <c r="C106">
        <v>170</v>
      </c>
      <c r="D106" s="59">
        <v>14.95</v>
      </c>
      <c r="E106" s="59">
        <v>2541.5</v>
      </c>
      <c r="F106">
        <f>VLOOKUP(RevenueTable[[#This Row],[Units Sold]],Discounttable[],2)</f>
        <v>0.55000000000000004</v>
      </c>
      <c r="G106">
        <f>ROUND((1-RevenueTable[[#This Row],[Discount on Total Revenue]])*RevenueTable[[#This Row],[Total Revenue]],2)</f>
        <v>1143.68</v>
      </c>
    </row>
    <row r="107" spans="1:7" x14ac:dyDescent="0.3">
      <c r="A107" s="46">
        <v>43047</v>
      </c>
      <c r="B107" t="s">
        <v>8</v>
      </c>
      <c r="C107">
        <v>31</v>
      </c>
      <c r="D107" s="59">
        <v>21.95</v>
      </c>
      <c r="E107" s="59">
        <v>680.44999999999993</v>
      </c>
      <c r="F107">
        <f>VLOOKUP(RevenueTable[[#This Row],[Units Sold]],Discounttable[],2)</f>
        <v>0.25</v>
      </c>
      <c r="G107">
        <f>ROUND((1-RevenueTable[[#This Row],[Discount on Total Revenue]])*RevenueTable[[#This Row],[Total Revenue]],2)</f>
        <v>510.34</v>
      </c>
    </row>
    <row r="108" spans="1:7" x14ac:dyDescent="0.3">
      <c r="A108" s="46">
        <v>43041</v>
      </c>
      <c r="B108" t="s">
        <v>7</v>
      </c>
      <c r="C108">
        <v>7</v>
      </c>
      <c r="D108" s="59">
        <v>43.95</v>
      </c>
      <c r="E108" s="59">
        <v>307.65000000000003</v>
      </c>
      <c r="F108">
        <f>VLOOKUP(RevenueTable[[#This Row],[Units Sold]],Discounttable[],2)</f>
        <v>0</v>
      </c>
      <c r="G108">
        <f>ROUND((1-RevenueTable[[#This Row],[Discount on Total Revenue]])*RevenueTable[[#This Row],[Total Revenue]],2)</f>
        <v>307.64999999999998</v>
      </c>
    </row>
    <row r="109" spans="1:7" x14ac:dyDescent="0.3">
      <c r="A109" s="46">
        <v>43046</v>
      </c>
      <c r="B109" t="s">
        <v>7</v>
      </c>
      <c r="C109">
        <v>175</v>
      </c>
      <c r="D109" s="59">
        <v>43.95</v>
      </c>
      <c r="E109" s="59">
        <v>7691.2500000000009</v>
      </c>
      <c r="F109">
        <f>VLOOKUP(RevenueTable[[#This Row],[Units Sold]],Discounttable[],2)</f>
        <v>0.55000000000000004</v>
      </c>
      <c r="G109">
        <f>ROUND((1-RevenueTable[[#This Row],[Discount on Total Revenue]])*RevenueTable[[#This Row],[Total Revenue]],2)</f>
        <v>3461.06</v>
      </c>
    </row>
    <row r="110" spans="1:7" x14ac:dyDescent="0.3">
      <c r="A110" s="46">
        <v>43047</v>
      </c>
      <c r="B110" t="s">
        <v>8</v>
      </c>
      <c r="C110">
        <v>107</v>
      </c>
      <c r="D110" s="59">
        <v>21.95</v>
      </c>
      <c r="E110" s="59">
        <v>2348.65</v>
      </c>
      <c r="F110">
        <f>VLOOKUP(RevenueTable[[#This Row],[Units Sold]],Discounttable[],2)</f>
        <v>0.4375</v>
      </c>
      <c r="G110">
        <f>ROUND((1-RevenueTable[[#This Row],[Discount on Total Revenue]])*RevenueTable[[#This Row],[Total Revenue]],2)</f>
        <v>1321.12</v>
      </c>
    </row>
    <row r="111" spans="1:7" x14ac:dyDescent="0.3">
      <c r="A111" s="46">
        <v>43046</v>
      </c>
      <c r="B111" t="s">
        <v>13</v>
      </c>
      <c r="C111">
        <v>123</v>
      </c>
      <c r="D111" s="59">
        <v>14.95</v>
      </c>
      <c r="E111" s="59">
        <v>1838.85</v>
      </c>
      <c r="F111">
        <f>VLOOKUP(RevenueTable[[#This Row],[Units Sold]],Discounttable[],2)</f>
        <v>0.4375</v>
      </c>
      <c r="G111">
        <f>ROUND((1-RevenueTable[[#This Row],[Discount on Total Revenue]])*RevenueTable[[#This Row],[Total Revenue]],2)</f>
        <v>1034.3499999999999</v>
      </c>
    </row>
    <row r="112" spans="1:7" x14ac:dyDescent="0.3">
      <c r="A112" s="46">
        <v>43045</v>
      </c>
      <c r="B112" t="s">
        <v>13</v>
      </c>
      <c r="C112">
        <v>21</v>
      </c>
      <c r="D112" s="59">
        <v>14.95</v>
      </c>
      <c r="E112" s="59">
        <v>313.95</v>
      </c>
      <c r="F112">
        <f>VLOOKUP(RevenueTable[[#This Row],[Units Sold]],Discounttable[],2)</f>
        <v>0.25</v>
      </c>
      <c r="G112">
        <f>ROUND((1-RevenueTable[[#This Row],[Discount on Total Revenue]])*RevenueTable[[#This Row],[Total Revenue]],2)</f>
        <v>235.46</v>
      </c>
    </row>
    <row r="113" spans="1:7" x14ac:dyDescent="0.3">
      <c r="A113" s="46">
        <v>43040</v>
      </c>
      <c r="B113" t="s">
        <v>8</v>
      </c>
      <c r="C113">
        <v>8</v>
      </c>
      <c r="D113" s="59">
        <v>21.95</v>
      </c>
      <c r="E113" s="59">
        <v>175.6</v>
      </c>
      <c r="F113">
        <f>VLOOKUP(RevenueTable[[#This Row],[Units Sold]],Discounttable[],2)</f>
        <v>0</v>
      </c>
      <c r="G113">
        <f>ROUND((1-RevenueTable[[#This Row],[Discount on Total Revenue]])*RevenueTable[[#This Row],[Total Revenue]],2)</f>
        <v>175.6</v>
      </c>
    </row>
    <row r="114" spans="1:7" x14ac:dyDescent="0.3">
      <c r="A114" s="46">
        <v>43042</v>
      </c>
      <c r="B114" t="s">
        <v>5</v>
      </c>
      <c r="C114">
        <v>115</v>
      </c>
      <c r="D114" s="59">
        <v>22.95</v>
      </c>
      <c r="E114" s="59">
        <v>2639.25</v>
      </c>
      <c r="F114">
        <f>VLOOKUP(RevenueTable[[#This Row],[Units Sold]],Discounttable[],2)</f>
        <v>0.4375</v>
      </c>
      <c r="G114">
        <f>ROUND((1-RevenueTable[[#This Row],[Discount on Total Revenue]])*RevenueTable[[#This Row],[Total Revenue]],2)</f>
        <v>1484.58</v>
      </c>
    </row>
    <row r="115" spans="1:7" x14ac:dyDescent="0.3">
      <c r="A115" s="46">
        <v>43043</v>
      </c>
      <c r="B115" t="s">
        <v>13</v>
      </c>
      <c r="C115">
        <v>50</v>
      </c>
      <c r="D115" s="59">
        <v>14.95</v>
      </c>
      <c r="E115" s="59">
        <v>747.5</v>
      </c>
      <c r="F115">
        <f>VLOOKUP(RevenueTable[[#This Row],[Units Sold]],Discounttable[],2)</f>
        <v>0.375</v>
      </c>
      <c r="G115">
        <f>ROUND((1-RevenueTable[[#This Row],[Discount on Total Revenue]])*RevenueTable[[#This Row],[Total Revenue]],2)</f>
        <v>467.19</v>
      </c>
    </row>
    <row r="116" spans="1:7" x14ac:dyDescent="0.3">
      <c r="A116" s="46">
        <v>43047</v>
      </c>
      <c r="B116" t="s">
        <v>13</v>
      </c>
      <c r="C116">
        <v>121</v>
      </c>
      <c r="D116" s="59">
        <v>14.95</v>
      </c>
      <c r="E116" s="59">
        <v>1808.9499999999998</v>
      </c>
      <c r="F116">
        <f>VLOOKUP(RevenueTable[[#This Row],[Units Sold]],Discounttable[],2)</f>
        <v>0.4375</v>
      </c>
      <c r="G116">
        <f>ROUND((1-RevenueTable[[#This Row],[Discount on Total Revenue]])*RevenueTable[[#This Row],[Total Revenue]],2)</f>
        <v>1017.53</v>
      </c>
    </row>
    <row r="117" spans="1:7" x14ac:dyDescent="0.3">
      <c r="A117" s="46">
        <v>43041</v>
      </c>
      <c r="B117" t="s">
        <v>13</v>
      </c>
      <c r="C117">
        <v>35</v>
      </c>
      <c r="D117" s="59">
        <v>14.95</v>
      </c>
      <c r="E117" s="59">
        <v>523.25</v>
      </c>
      <c r="F117">
        <f>VLOOKUP(RevenueTable[[#This Row],[Units Sold]],Discounttable[],2)</f>
        <v>0.25</v>
      </c>
      <c r="G117">
        <f>ROUND((1-RevenueTable[[#This Row],[Discount on Total Revenue]])*RevenueTable[[#This Row],[Total Revenue]],2)</f>
        <v>392.44</v>
      </c>
    </row>
    <row r="118" spans="1:7" x14ac:dyDescent="0.3">
      <c r="A118" s="46">
        <v>43044</v>
      </c>
      <c r="B118" t="s">
        <v>5</v>
      </c>
      <c r="C118">
        <v>106</v>
      </c>
      <c r="D118" s="59">
        <v>22.95</v>
      </c>
      <c r="E118" s="59">
        <v>2432.6999999999998</v>
      </c>
      <c r="F118">
        <f>VLOOKUP(RevenueTable[[#This Row],[Units Sold]],Discounttable[],2)</f>
        <v>0.4375</v>
      </c>
      <c r="G118">
        <f>ROUND((1-RevenueTable[[#This Row],[Discount on Total Revenue]])*RevenueTable[[#This Row],[Total Revenue]],2)</f>
        <v>1368.39</v>
      </c>
    </row>
    <row r="119" spans="1:7" x14ac:dyDescent="0.3">
      <c r="A119" s="46">
        <v>43041</v>
      </c>
      <c r="B119" t="s">
        <v>13</v>
      </c>
      <c r="C119">
        <v>125</v>
      </c>
      <c r="D119" s="59">
        <v>14.95</v>
      </c>
      <c r="E119" s="59">
        <v>1868.75</v>
      </c>
      <c r="F119">
        <f>VLOOKUP(RevenueTable[[#This Row],[Units Sold]],Discounttable[],2)</f>
        <v>0.4375</v>
      </c>
      <c r="G119">
        <f>ROUND((1-RevenueTable[[#This Row],[Discount on Total Revenue]])*RevenueTable[[#This Row],[Total Revenue]],2)</f>
        <v>1051.17</v>
      </c>
    </row>
    <row r="120" spans="1:7" x14ac:dyDescent="0.3">
      <c r="A120" s="46">
        <v>43040</v>
      </c>
      <c r="B120" t="s">
        <v>13</v>
      </c>
      <c r="C120">
        <v>182</v>
      </c>
      <c r="D120" s="59">
        <v>14.95</v>
      </c>
      <c r="E120" s="59">
        <v>2720.9</v>
      </c>
      <c r="F120">
        <f>VLOOKUP(RevenueTable[[#This Row],[Units Sold]],Discounttable[],2)</f>
        <v>0.55000000000000004</v>
      </c>
      <c r="G120">
        <f>ROUND((1-RevenueTable[[#This Row],[Discount on Total Revenue]])*RevenueTable[[#This Row],[Total Revenue]],2)</f>
        <v>1224.4100000000001</v>
      </c>
    </row>
    <row r="121" spans="1:7" x14ac:dyDescent="0.3">
      <c r="A121" s="46">
        <v>43046</v>
      </c>
      <c r="B121" t="s">
        <v>7</v>
      </c>
      <c r="C121">
        <v>98</v>
      </c>
      <c r="D121" s="59">
        <v>43.95</v>
      </c>
      <c r="E121" s="59">
        <v>4307.1000000000004</v>
      </c>
      <c r="F121">
        <f>VLOOKUP(RevenueTable[[#This Row],[Units Sold]],Discounttable[],2)</f>
        <v>0.4375</v>
      </c>
      <c r="G121">
        <f>ROUND((1-RevenueTable[[#This Row],[Discount on Total Revenue]])*RevenueTable[[#This Row],[Total Revenue]],2)</f>
        <v>2422.7399999999998</v>
      </c>
    </row>
    <row r="122" spans="1:7" x14ac:dyDescent="0.3">
      <c r="A122" s="46">
        <v>43042</v>
      </c>
      <c r="B122" t="s">
        <v>13</v>
      </c>
      <c r="C122">
        <v>80</v>
      </c>
      <c r="D122" s="59">
        <v>14.95</v>
      </c>
      <c r="E122" s="59">
        <v>1196</v>
      </c>
      <c r="F122">
        <f>VLOOKUP(RevenueTable[[#This Row],[Units Sold]],Discounttable[],2)</f>
        <v>0.375</v>
      </c>
      <c r="G122">
        <f>ROUND((1-RevenueTable[[#This Row],[Discount on Total Revenue]])*RevenueTable[[#This Row],[Total Revenue]],2)</f>
        <v>747.5</v>
      </c>
    </row>
    <row r="123" spans="1:7" x14ac:dyDescent="0.3">
      <c r="A123" s="46">
        <v>43044</v>
      </c>
      <c r="B123" t="s">
        <v>8</v>
      </c>
      <c r="C123">
        <v>18</v>
      </c>
      <c r="D123" s="59">
        <v>21.95</v>
      </c>
      <c r="E123" s="59">
        <v>395.09999999999997</v>
      </c>
      <c r="F123">
        <f>VLOOKUP(RevenueTable[[#This Row],[Units Sold]],Discounttable[],2)</f>
        <v>0.25</v>
      </c>
      <c r="G123">
        <f>ROUND((1-RevenueTable[[#This Row],[Discount on Total Revenue]])*RevenueTable[[#This Row],[Total Revenue]],2)</f>
        <v>296.33</v>
      </c>
    </row>
    <row r="124" spans="1:7" x14ac:dyDescent="0.3">
      <c r="A124" s="46">
        <v>43043</v>
      </c>
      <c r="B124" t="s">
        <v>13</v>
      </c>
      <c r="C124">
        <v>80</v>
      </c>
      <c r="D124" s="59">
        <v>14.95</v>
      </c>
      <c r="E124" s="59">
        <v>1196</v>
      </c>
      <c r="F124">
        <f>VLOOKUP(RevenueTable[[#This Row],[Units Sold]],Discounttable[],2)</f>
        <v>0.375</v>
      </c>
      <c r="G124">
        <f>ROUND((1-RevenueTable[[#This Row],[Discount on Total Revenue]])*RevenueTable[[#This Row],[Total Revenue]],2)</f>
        <v>747.5</v>
      </c>
    </row>
    <row r="125" spans="1:7" x14ac:dyDescent="0.3">
      <c r="A125" s="46">
        <v>43041</v>
      </c>
      <c r="B125" t="s">
        <v>5</v>
      </c>
      <c r="C125">
        <v>52</v>
      </c>
      <c r="D125" s="59">
        <v>22.95</v>
      </c>
      <c r="E125" s="59">
        <v>1193.3999999999999</v>
      </c>
      <c r="F125">
        <f>VLOOKUP(RevenueTable[[#This Row],[Units Sold]],Discounttable[],2)</f>
        <v>0.375</v>
      </c>
      <c r="G125">
        <f>ROUND((1-RevenueTable[[#This Row],[Discount on Total Revenue]])*RevenueTable[[#This Row],[Total Revenue]],2)</f>
        <v>745.88</v>
      </c>
    </row>
    <row r="126" spans="1:7" x14ac:dyDescent="0.3">
      <c r="A126" s="46">
        <v>43042</v>
      </c>
      <c r="B126" t="s">
        <v>7</v>
      </c>
      <c r="C126">
        <v>52</v>
      </c>
      <c r="D126" s="59">
        <v>43.95</v>
      </c>
      <c r="E126" s="59">
        <v>2285.4</v>
      </c>
      <c r="F126">
        <f>VLOOKUP(RevenueTable[[#This Row],[Units Sold]],Discounttable[],2)</f>
        <v>0.375</v>
      </c>
      <c r="G126">
        <f>ROUND((1-RevenueTable[[#This Row],[Discount on Total Revenue]])*RevenueTable[[#This Row],[Total Revenue]],2)</f>
        <v>1428.38</v>
      </c>
    </row>
    <row r="127" spans="1:7" x14ac:dyDescent="0.3">
      <c r="A127" s="46">
        <v>43045</v>
      </c>
      <c r="B127" t="s">
        <v>5</v>
      </c>
      <c r="C127">
        <v>119</v>
      </c>
      <c r="D127" s="59">
        <v>22.95</v>
      </c>
      <c r="E127" s="59">
        <v>2731.0499999999997</v>
      </c>
      <c r="F127">
        <f>VLOOKUP(RevenueTable[[#This Row],[Units Sold]],Discounttable[],2)</f>
        <v>0.4375</v>
      </c>
      <c r="G127">
        <f>ROUND((1-RevenueTable[[#This Row],[Discount on Total Revenue]])*RevenueTable[[#This Row],[Total Revenue]],2)</f>
        <v>1536.22</v>
      </c>
    </row>
    <row r="128" spans="1:7" x14ac:dyDescent="0.3">
      <c r="A128" s="46">
        <v>43047</v>
      </c>
      <c r="B128" t="s">
        <v>13</v>
      </c>
      <c r="C128">
        <v>129</v>
      </c>
      <c r="D128" s="59">
        <v>14.95</v>
      </c>
      <c r="E128" s="59">
        <v>1928.55</v>
      </c>
      <c r="F128">
        <f>VLOOKUP(RevenueTable[[#This Row],[Units Sold]],Discounttable[],2)</f>
        <v>0.4375</v>
      </c>
      <c r="G128">
        <f>ROUND((1-RevenueTable[[#This Row],[Discount on Total Revenue]])*RevenueTable[[#This Row],[Total Revenue]],2)</f>
        <v>1084.81</v>
      </c>
    </row>
    <row r="129" spans="1:7" x14ac:dyDescent="0.3">
      <c r="A129" s="46">
        <v>43047</v>
      </c>
      <c r="B129" t="s">
        <v>13</v>
      </c>
      <c r="C129">
        <v>141</v>
      </c>
      <c r="D129" s="59">
        <v>14.95</v>
      </c>
      <c r="E129" s="59">
        <v>2107.9499999999998</v>
      </c>
      <c r="F129">
        <f>VLOOKUP(RevenueTable[[#This Row],[Units Sold]],Discounttable[],2)</f>
        <v>0.4375</v>
      </c>
      <c r="G129">
        <f>ROUND((1-RevenueTable[[#This Row],[Discount on Total Revenue]])*RevenueTable[[#This Row],[Total Revenue]],2)</f>
        <v>1185.72</v>
      </c>
    </row>
    <row r="130" spans="1:7" x14ac:dyDescent="0.3">
      <c r="A130" s="46">
        <v>43047</v>
      </c>
      <c r="B130" t="s">
        <v>7</v>
      </c>
      <c r="C130">
        <v>95</v>
      </c>
      <c r="D130" s="59">
        <v>43.95</v>
      </c>
      <c r="E130" s="59">
        <v>4175.25</v>
      </c>
      <c r="F130">
        <f>VLOOKUP(RevenueTable[[#This Row],[Units Sold]],Discounttable[],2)</f>
        <v>0.375</v>
      </c>
      <c r="G130">
        <f>ROUND((1-RevenueTable[[#This Row],[Discount on Total Revenue]])*RevenueTable[[#This Row],[Total Revenue]],2)</f>
        <v>2609.5300000000002</v>
      </c>
    </row>
    <row r="131" spans="1:7" x14ac:dyDescent="0.3">
      <c r="A131" s="46">
        <v>43041</v>
      </c>
      <c r="B131" t="s">
        <v>5</v>
      </c>
      <c r="C131">
        <v>112</v>
      </c>
      <c r="D131" s="59">
        <v>22.95</v>
      </c>
      <c r="E131" s="59">
        <v>2570.4</v>
      </c>
      <c r="F131">
        <f>VLOOKUP(RevenueTable[[#This Row],[Units Sold]],Discounttable[],2)</f>
        <v>0.4375</v>
      </c>
      <c r="G131">
        <f>ROUND((1-RevenueTable[[#This Row],[Discount on Total Revenue]])*RevenueTable[[#This Row],[Total Revenue]],2)</f>
        <v>1445.85</v>
      </c>
    </row>
    <row r="132" spans="1:7" x14ac:dyDescent="0.3">
      <c r="A132" s="46">
        <v>43043</v>
      </c>
      <c r="B132" t="s">
        <v>7</v>
      </c>
      <c r="C132">
        <v>40</v>
      </c>
      <c r="D132" s="59">
        <v>43.95</v>
      </c>
      <c r="E132" s="59">
        <v>1758</v>
      </c>
      <c r="F132">
        <f>VLOOKUP(RevenueTable[[#This Row],[Units Sold]],Discounttable[],2)</f>
        <v>0.25</v>
      </c>
      <c r="G132">
        <f>ROUND((1-RevenueTable[[#This Row],[Discount on Total Revenue]])*RevenueTable[[#This Row],[Total Revenue]],2)</f>
        <v>1318.5</v>
      </c>
    </row>
    <row r="133" spans="1:7" x14ac:dyDescent="0.3">
      <c r="A133" s="46">
        <v>43044</v>
      </c>
      <c r="B133" t="s">
        <v>7</v>
      </c>
      <c r="C133">
        <v>160</v>
      </c>
      <c r="D133" s="59">
        <v>43.95</v>
      </c>
      <c r="E133" s="59">
        <v>7032</v>
      </c>
      <c r="F133">
        <f>VLOOKUP(RevenueTable[[#This Row],[Units Sold]],Discounttable[],2)</f>
        <v>0.5</v>
      </c>
      <c r="G133">
        <f>ROUND((1-RevenueTable[[#This Row],[Discount on Total Revenue]])*RevenueTable[[#This Row],[Total Revenue]],2)</f>
        <v>3516</v>
      </c>
    </row>
    <row r="134" spans="1:7" x14ac:dyDescent="0.3">
      <c r="A134" s="46">
        <v>43043</v>
      </c>
      <c r="B134" t="s">
        <v>13</v>
      </c>
      <c r="C134">
        <v>81</v>
      </c>
      <c r="D134" s="59">
        <v>14.95</v>
      </c>
      <c r="E134" s="59">
        <v>1210.95</v>
      </c>
      <c r="F134">
        <f>VLOOKUP(RevenueTable[[#This Row],[Units Sold]],Discounttable[],2)</f>
        <v>0.375</v>
      </c>
      <c r="G134">
        <f>ROUND((1-RevenueTable[[#This Row],[Discount on Total Revenue]])*RevenueTable[[#This Row],[Total Revenue]],2)</f>
        <v>756.84</v>
      </c>
    </row>
    <row r="135" spans="1:7" x14ac:dyDescent="0.3">
      <c r="A135" s="46">
        <v>43044</v>
      </c>
      <c r="B135" t="s">
        <v>7</v>
      </c>
      <c r="C135">
        <v>157</v>
      </c>
      <c r="D135" s="59">
        <v>43.95</v>
      </c>
      <c r="E135" s="59">
        <v>6900.1500000000005</v>
      </c>
      <c r="F135">
        <f>VLOOKUP(RevenueTable[[#This Row],[Units Sold]],Discounttable[],2)</f>
        <v>0.5</v>
      </c>
      <c r="G135">
        <f>ROUND((1-RevenueTable[[#This Row],[Discount on Total Revenue]])*RevenueTable[[#This Row],[Total Revenue]],2)</f>
        <v>3450.08</v>
      </c>
    </row>
    <row r="136" spans="1:7" x14ac:dyDescent="0.3">
      <c r="A136" s="46">
        <v>43046</v>
      </c>
      <c r="B136" t="s">
        <v>5</v>
      </c>
      <c r="C136">
        <v>12</v>
      </c>
      <c r="D136" s="59">
        <v>22.95</v>
      </c>
      <c r="E136" s="59">
        <v>275.39999999999998</v>
      </c>
      <c r="F136">
        <f>VLOOKUP(RevenueTable[[#This Row],[Units Sold]],Discounttable[],2)</f>
        <v>0.25</v>
      </c>
      <c r="G136">
        <f>ROUND((1-RevenueTable[[#This Row],[Discount on Total Revenue]])*RevenueTable[[#This Row],[Total Revenue]],2)</f>
        <v>206.55</v>
      </c>
    </row>
    <row r="137" spans="1:7" x14ac:dyDescent="0.3">
      <c r="A137" s="46">
        <v>43040</v>
      </c>
      <c r="B137" t="s">
        <v>13</v>
      </c>
      <c r="C137">
        <v>117</v>
      </c>
      <c r="D137" s="59">
        <v>14.95</v>
      </c>
      <c r="E137" s="59">
        <v>1749.1499999999999</v>
      </c>
      <c r="F137">
        <f>VLOOKUP(RevenueTable[[#This Row],[Units Sold]],Discounttable[],2)</f>
        <v>0.4375</v>
      </c>
      <c r="G137">
        <f>ROUND((1-RevenueTable[[#This Row],[Discount on Total Revenue]])*RevenueTable[[#This Row],[Total Revenue]],2)</f>
        <v>983.9</v>
      </c>
    </row>
    <row r="138" spans="1:7" x14ac:dyDescent="0.3">
      <c r="A138" s="46">
        <v>43043</v>
      </c>
      <c r="B138" t="s">
        <v>7</v>
      </c>
      <c r="C138">
        <v>118</v>
      </c>
      <c r="D138" s="59">
        <v>43.95</v>
      </c>
      <c r="E138" s="59">
        <v>5186.1000000000004</v>
      </c>
      <c r="F138">
        <f>VLOOKUP(RevenueTable[[#This Row],[Units Sold]],Discounttable[],2)</f>
        <v>0.4375</v>
      </c>
      <c r="G138">
        <f>ROUND((1-RevenueTable[[#This Row],[Discount on Total Revenue]])*RevenueTable[[#This Row],[Total Revenue]],2)</f>
        <v>2917.18</v>
      </c>
    </row>
    <row r="139" spans="1:7" x14ac:dyDescent="0.3">
      <c r="A139" s="46">
        <v>43042</v>
      </c>
      <c r="B139" t="s">
        <v>5</v>
      </c>
      <c r="C139">
        <v>6</v>
      </c>
      <c r="D139" s="59">
        <v>22.95</v>
      </c>
      <c r="E139" s="59">
        <v>137.69999999999999</v>
      </c>
      <c r="F139">
        <f>VLOOKUP(RevenueTable[[#This Row],[Units Sold]],Discounttable[],2)</f>
        <v>0</v>
      </c>
      <c r="G139">
        <f>ROUND((1-RevenueTable[[#This Row],[Discount on Total Revenue]])*RevenueTable[[#This Row],[Total Revenue]],2)</f>
        <v>137.69999999999999</v>
      </c>
    </row>
    <row r="140" spans="1:7" x14ac:dyDescent="0.3">
      <c r="A140" s="46">
        <v>43043</v>
      </c>
      <c r="B140" t="s">
        <v>13</v>
      </c>
      <c r="C140">
        <v>107</v>
      </c>
      <c r="D140" s="59">
        <v>14.95</v>
      </c>
      <c r="E140" s="59">
        <v>1599.6499999999999</v>
      </c>
      <c r="F140">
        <f>VLOOKUP(RevenueTable[[#This Row],[Units Sold]],Discounttable[],2)</f>
        <v>0.4375</v>
      </c>
      <c r="G140">
        <f>ROUND((1-RevenueTable[[#This Row],[Discount on Total Revenue]])*RevenueTable[[#This Row],[Total Revenue]],2)</f>
        <v>899.8</v>
      </c>
    </row>
    <row r="141" spans="1:7" x14ac:dyDescent="0.3">
      <c r="A141" s="46">
        <v>43041</v>
      </c>
      <c r="B141" t="s">
        <v>8</v>
      </c>
      <c r="C141">
        <v>15</v>
      </c>
      <c r="D141" s="59">
        <v>21.95</v>
      </c>
      <c r="E141" s="59">
        <v>329.25</v>
      </c>
      <c r="F141">
        <f>VLOOKUP(RevenueTable[[#This Row],[Units Sold]],Discounttable[],2)</f>
        <v>0.25</v>
      </c>
      <c r="G141">
        <f>ROUND((1-RevenueTable[[#This Row],[Discount on Total Revenue]])*RevenueTable[[#This Row],[Total Revenue]],2)</f>
        <v>246.94</v>
      </c>
    </row>
    <row r="142" spans="1:7" x14ac:dyDescent="0.3">
      <c r="A142" s="46">
        <v>43041</v>
      </c>
      <c r="B142" t="s">
        <v>8</v>
      </c>
      <c r="C142">
        <v>7</v>
      </c>
      <c r="D142" s="59">
        <v>21.95</v>
      </c>
      <c r="E142" s="59">
        <v>153.65</v>
      </c>
      <c r="F142">
        <f>VLOOKUP(RevenueTable[[#This Row],[Units Sold]],Discounttable[],2)</f>
        <v>0</v>
      </c>
      <c r="G142">
        <f>ROUND((1-RevenueTable[[#This Row],[Discount on Total Revenue]])*RevenueTable[[#This Row],[Total Revenue]],2)</f>
        <v>153.65</v>
      </c>
    </row>
    <row r="143" spans="1:7" x14ac:dyDescent="0.3">
      <c r="A143" s="46">
        <v>43046</v>
      </c>
      <c r="B143" t="s">
        <v>5</v>
      </c>
      <c r="C143">
        <v>178</v>
      </c>
      <c r="D143" s="59">
        <v>22.95</v>
      </c>
      <c r="E143" s="59">
        <v>4085.1</v>
      </c>
      <c r="F143">
        <f>VLOOKUP(RevenueTable[[#This Row],[Units Sold]],Discounttable[],2)</f>
        <v>0.55000000000000004</v>
      </c>
      <c r="G143">
        <f>ROUND((1-RevenueTable[[#This Row],[Discount on Total Revenue]])*RevenueTable[[#This Row],[Total Revenue]],2)</f>
        <v>1838.3</v>
      </c>
    </row>
    <row r="144" spans="1:7" x14ac:dyDescent="0.3">
      <c r="A144" s="46">
        <v>43042</v>
      </c>
      <c r="B144" t="s">
        <v>13</v>
      </c>
      <c r="C144">
        <v>159</v>
      </c>
      <c r="D144" s="59">
        <v>14.95</v>
      </c>
      <c r="E144" s="59">
        <v>2377.0499999999997</v>
      </c>
      <c r="F144">
        <f>VLOOKUP(RevenueTable[[#This Row],[Units Sold]],Discounttable[],2)</f>
        <v>0.5</v>
      </c>
      <c r="G144">
        <f>ROUND((1-RevenueTable[[#This Row],[Discount on Total Revenue]])*RevenueTable[[#This Row],[Total Revenue]],2)</f>
        <v>1188.53</v>
      </c>
    </row>
    <row r="145" spans="1:7" x14ac:dyDescent="0.3">
      <c r="A145" s="46">
        <v>43042</v>
      </c>
      <c r="B145" t="s">
        <v>8</v>
      </c>
      <c r="C145">
        <v>48</v>
      </c>
      <c r="D145" s="59">
        <v>21.95</v>
      </c>
      <c r="E145" s="59">
        <v>1053.5999999999999</v>
      </c>
      <c r="F145">
        <f>VLOOKUP(RevenueTable[[#This Row],[Units Sold]],Discounttable[],2)</f>
        <v>0.375</v>
      </c>
      <c r="G145">
        <f>ROUND((1-RevenueTable[[#This Row],[Discount on Total Revenue]])*RevenueTable[[#This Row],[Total Revenue]],2)</f>
        <v>658.5</v>
      </c>
    </row>
    <row r="146" spans="1:7" x14ac:dyDescent="0.3">
      <c r="A146" s="46">
        <v>43043</v>
      </c>
      <c r="B146" t="s">
        <v>7</v>
      </c>
      <c r="C146">
        <v>12</v>
      </c>
      <c r="D146" s="59">
        <v>43.95</v>
      </c>
      <c r="E146" s="59">
        <v>527.40000000000009</v>
      </c>
      <c r="F146">
        <f>VLOOKUP(RevenueTable[[#This Row],[Units Sold]],Discounttable[],2)</f>
        <v>0.25</v>
      </c>
      <c r="G146">
        <f>ROUND((1-RevenueTable[[#This Row],[Discount on Total Revenue]])*RevenueTable[[#This Row],[Total Revenue]],2)</f>
        <v>395.55</v>
      </c>
    </row>
    <row r="147" spans="1:7" x14ac:dyDescent="0.3">
      <c r="A147" s="46">
        <v>43041</v>
      </c>
      <c r="B147" t="s">
        <v>7</v>
      </c>
      <c r="C147">
        <v>163</v>
      </c>
      <c r="D147" s="59">
        <v>43.95</v>
      </c>
      <c r="E147" s="59">
        <v>7163.85</v>
      </c>
      <c r="F147">
        <f>VLOOKUP(RevenueTable[[#This Row],[Units Sold]],Discounttable[],2)</f>
        <v>0.5</v>
      </c>
      <c r="G147">
        <f>ROUND((1-RevenueTable[[#This Row],[Discount on Total Revenue]])*RevenueTable[[#This Row],[Total Revenue]],2)</f>
        <v>3581.93</v>
      </c>
    </row>
    <row r="148" spans="1:7" x14ac:dyDescent="0.3">
      <c r="A148" s="46">
        <v>43041</v>
      </c>
      <c r="B148" t="s">
        <v>8</v>
      </c>
      <c r="C148">
        <v>133</v>
      </c>
      <c r="D148" s="59">
        <v>21.95</v>
      </c>
      <c r="E148" s="59">
        <v>2919.35</v>
      </c>
      <c r="F148">
        <f>VLOOKUP(RevenueTable[[#This Row],[Units Sold]],Discounttable[],2)</f>
        <v>0.4375</v>
      </c>
      <c r="G148">
        <f>ROUND((1-RevenueTable[[#This Row],[Discount on Total Revenue]])*RevenueTable[[#This Row],[Total Revenue]],2)</f>
        <v>1642.13</v>
      </c>
    </row>
    <row r="149" spans="1:7" x14ac:dyDescent="0.3">
      <c r="A149" s="46">
        <v>43042</v>
      </c>
      <c r="B149" t="s">
        <v>13</v>
      </c>
      <c r="C149">
        <v>63</v>
      </c>
      <c r="D149" s="59">
        <v>14.95</v>
      </c>
      <c r="E149" s="59">
        <v>941.84999999999991</v>
      </c>
      <c r="F149">
        <f>VLOOKUP(RevenueTable[[#This Row],[Units Sold]],Discounttable[],2)</f>
        <v>0.375</v>
      </c>
      <c r="G149">
        <f>ROUND((1-RevenueTable[[#This Row],[Discount on Total Revenue]])*RevenueTable[[#This Row],[Total Revenue]],2)</f>
        <v>588.66</v>
      </c>
    </row>
    <row r="150" spans="1:7" x14ac:dyDescent="0.3">
      <c r="A150" s="46">
        <v>43040</v>
      </c>
      <c r="B150" t="s">
        <v>7</v>
      </c>
      <c r="C150">
        <v>95</v>
      </c>
      <c r="D150" s="59">
        <v>43.95</v>
      </c>
      <c r="E150" s="59">
        <v>4175.25</v>
      </c>
      <c r="F150">
        <f>VLOOKUP(RevenueTable[[#This Row],[Units Sold]],Discounttable[],2)</f>
        <v>0.375</v>
      </c>
      <c r="G150">
        <f>ROUND((1-RevenueTable[[#This Row],[Discount on Total Revenue]])*RevenueTable[[#This Row],[Total Revenue]],2)</f>
        <v>2609.5300000000002</v>
      </c>
    </row>
    <row r="151" spans="1:7" x14ac:dyDescent="0.3">
      <c r="A151" s="46">
        <v>43042</v>
      </c>
      <c r="B151" t="s">
        <v>13</v>
      </c>
      <c r="C151">
        <v>51</v>
      </c>
      <c r="D151" s="59">
        <v>14.95</v>
      </c>
      <c r="E151" s="59">
        <v>762.44999999999993</v>
      </c>
      <c r="F151">
        <f>VLOOKUP(RevenueTable[[#This Row],[Units Sold]],Discounttable[],2)</f>
        <v>0.375</v>
      </c>
      <c r="G151">
        <f>ROUND((1-RevenueTable[[#This Row],[Discount on Total Revenue]])*RevenueTable[[#This Row],[Total Revenue]],2)</f>
        <v>476.53</v>
      </c>
    </row>
    <row r="152" spans="1:7" x14ac:dyDescent="0.3">
      <c r="A152" s="46">
        <v>43045</v>
      </c>
      <c r="B152" t="s">
        <v>7</v>
      </c>
      <c r="C152">
        <v>75</v>
      </c>
      <c r="D152" s="59">
        <v>43.95</v>
      </c>
      <c r="E152" s="59">
        <v>3296.25</v>
      </c>
      <c r="F152">
        <f>VLOOKUP(RevenueTable[[#This Row],[Units Sold]],Discounttable[],2)</f>
        <v>0.375</v>
      </c>
      <c r="G152">
        <f>ROUND((1-RevenueTable[[#This Row],[Discount on Total Revenue]])*RevenueTable[[#This Row],[Total Revenue]],2)</f>
        <v>2060.16</v>
      </c>
    </row>
    <row r="153" spans="1:7" x14ac:dyDescent="0.3">
      <c r="A153" s="46">
        <v>43043</v>
      </c>
      <c r="B153" t="s">
        <v>13</v>
      </c>
      <c r="C153">
        <v>174</v>
      </c>
      <c r="D153" s="59">
        <v>14.95</v>
      </c>
      <c r="E153" s="59">
        <v>2601.2999999999997</v>
      </c>
      <c r="F153">
        <f>VLOOKUP(RevenueTable[[#This Row],[Units Sold]],Discounttable[],2)</f>
        <v>0.55000000000000004</v>
      </c>
      <c r="G153">
        <f>ROUND((1-RevenueTable[[#This Row],[Discount on Total Revenue]])*RevenueTable[[#This Row],[Total Revenue]],2)</f>
        <v>1170.5899999999999</v>
      </c>
    </row>
    <row r="154" spans="1:7" x14ac:dyDescent="0.3">
      <c r="A154" s="46">
        <v>43040</v>
      </c>
      <c r="B154" t="s">
        <v>13</v>
      </c>
      <c r="C154">
        <v>150</v>
      </c>
      <c r="D154" s="59">
        <v>14.95</v>
      </c>
      <c r="E154" s="59">
        <v>2242.5</v>
      </c>
      <c r="F154">
        <f>VLOOKUP(RevenueTable[[#This Row],[Units Sold]],Discounttable[],2)</f>
        <v>0.5</v>
      </c>
      <c r="G154">
        <f>ROUND((1-RevenueTable[[#This Row],[Discount on Total Revenue]])*RevenueTable[[#This Row],[Total Revenue]],2)</f>
        <v>1121.25</v>
      </c>
    </row>
    <row r="155" spans="1:7" x14ac:dyDescent="0.3">
      <c r="A155" s="46">
        <v>43043</v>
      </c>
      <c r="B155" t="s">
        <v>13</v>
      </c>
      <c r="C155">
        <v>4</v>
      </c>
      <c r="D155" s="59">
        <v>14.95</v>
      </c>
      <c r="E155" s="59">
        <v>59.8</v>
      </c>
      <c r="F155">
        <f>VLOOKUP(RevenueTable[[#This Row],[Units Sold]],Discounttable[],2)</f>
        <v>0</v>
      </c>
      <c r="G155">
        <f>ROUND((1-RevenueTable[[#This Row],[Discount on Total Revenue]])*RevenueTable[[#This Row],[Total Revenue]],2)</f>
        <v>59.8</v>
      </c>
    </row>
    <row r="156" spans="1:7" x14ac:dyDescent="0.3">
      <c r="A156" s="46">
        <v>43040</v>
      </c>
      <c r="B156" t="s">
        <v>7</v>
      </c>
      <c r="C156">
        <v>87</v>
      </c>
      <c r="D156" s="59">
        <v>43.95</v>
      </c>
      <c r="E156" s="59">
        <v>3823.65</v>
      </c>
      <c r="F156">
        <f>VLOOKUP(RevenueTable[[#This Row],[Units Sold]],Discounttable[],2)</f>
        <v>0.375</v>
      </c>
      <c r="G156">
        <f>ROUND((1-RevenueTable[[#This Row],[Discount on Total Revenue]])*RevenueTable[[#This Row],[Total Revenue]],2)</f>
        <v>2389.7800000000002</v>
      </c>
    </row>
    <row r="157" spans="1:7" x14ac:dyDescent="0.3">
      <c r="A157" s="46">
        <v>43040</v>
      </c>
      <c r="B157" t="s">
        <v>13</v>
      </c>
      <c r="C157">
        <v>105</v>
      </c>
      <c r="D157" s="59">
        <v>14.95</v>
      </c>
      <c r="E157" s="59">
        <v>1569.75</v>
      </c>
      <c r="F157">
        <f>VLOOKUP(RevenueTable[[#This Row],[Units Sold]],Discounttable[],2)</f>
        <v>0.4375</v>
      </c>
      <c r="G157">
        <f>ROUND((1-RevenueTable[[#This Row],[Discount on Total Revenue]])*RevenueTable[[#This Row],[Total Revenue]],2)</f>
        <v>882.98</v>
      </c>
    </row>
    <row r="158" spans="1:7" x14ac:dyDescent="0.3">
      <c r="A158" s="46">
        <v>43045</v>
      </c>
      <c r="B158" t="s">
        <v>13</v>
      </c>
      <c r="C158">
        <v>129</v>
      </c>
      <c r="D158" s="59">
        <v>14.95</v>
      </c>
      <c r="E158" s="59">
        <v>1928.55</v>
      </c>
      <c r="F158">
        <f>VLOOKUP(RevenueTable[[#This Row],[Units Sold]],Discounttable[],2)</f>
        <v>0.4375</v>
      </c>
      <c r="G158">
        <f>ROUND((1-RevenueTable[[#This Row],[Discount on Total Revenue]])*RevenueTable[[#This Row],[Total Revenue]],2)</f>
        <v>1084.81</v>
      </c>
    </row>
    <row r="159" spans="1:7" x14ac:dyDescent="0.3">
      <c r="A159" s="46">
        <v>43047</v>
      </c>
      <c r="B159" t="s">
        <v>13</v>
      </c>
      <c r="C159">
        <v>9</v>
      </c>
      <c r="D159" s="59">
        <v>14.95</v>
      </c>
      <c r="E159" s="59">
        <v>134.54999999999998</v>
      </c>
      <c r="F159">
        <f>VLOOKUP(RevenueTable[[#This Row],[Units Sold]],Discounttable[],2)</f>
        <v>0</v>
      </c>
      <c r="G159">
        <f>ROUND((1-RevenueTable[[#This Row],[Discount on Total Revenue]])*RevenueTable[[#This Row],[Total Revenue]],2)</f>
        <v>134.55000000000001</v>
      </c>
    </row>
    <row r="160" spans="1:7" x14ac:dyDescent="0.3">
      <c r="A160" s="46">
        <v>43044</v>
      </c>
      <c r="B160" t="s">
        <v>13</v>
      </c>
      <c r="C160">
        <v>90</v>
      </c>
      <c r="D160" s="59">
        <v>14.95</v>
      </c>
      <c r="E160" s="59">
        <v>1345.5</v>
      </c>
      <c r="F160">
        <f>VLOOKUP(RevenueTable[[#This Row],[Units Sold]],Discounttable[],2)</f>
        <v>0.375</v>
      </c>
      <c r="G160">
        <f>ROUND((1-RevenueTable[[#This Row],[Discount on Total Revenue]])*RevenueTable[[#This Row],[Total Revenue]],2)</f>
        <v>840.94</v>
      </c>
    </row>
    <row r="161" spans="1:7" x14ac:dyDescent="0.3">
      <c r="A161" s="46">
        <v>43041</v>
      </c>
      <c r="B161" t="s">
        <v>8</v>
      </c>
      <c r="C161">
        <v>14</v>
      </c>
      <c r="D161" s="59">
        <v>21.95</v>
      </c>
      <c r="E161" s="59">
        <v>307.3</v>
      </c>
      <c r="F161">
        <f>VLOOKUP(RevenueTable[[#This Row],[Units Sold]],Discounttable[],2)</f>
        <v>0.25</v>
      </c>
      <c r="G161">
        <f>ROUND((1-RevenueTable[[#This Row],[Discount on Total Revenue]])*RevenueTable[[#This Row],[Total Revenue]],2)</f>
        <v>230.48</v>
      </c>
    </row>
    <row r="162" spans="1:7" x14ac:dyDescent="0.3">
      <c r="A162" s="46">
        <v>43041</v>
      </c>
      <c r="B162" t="s">
        <v>8</v>
      </c>
      <c r="C162">
        <v>134</v>
      </c>
      <c r="D162" s="59">
        <v>21.95</v>
      </c>
      <c r="E162" s="59">
        <v>2941.2999999999997</v>
      </c>
      <c r="F162">
        <f>VLOOKUP(RevenueTable[[#This Row],[Units Sold]],Discounttable[],2)</f>
        <v>0.4375</v>
      </c>
      <c r="G162">
        <f>ROUND((1-RevenueTable[[#This Row],[Discount on Total Revenue]])*RevenueTable[[#This Row],[Total Revenue]],2)</f>
        <v>1654.48</v>
      </c>
    </row>
    <row r="163" spans="1:7" x14ac:dyDescent="0.3">
      <c r="A163" s="46">
        <v>43047</v>
      </c>
      <c r="B163" t="s">
        <v>5</v>
      </c>
      <c r="C163">
        <v>102</v>
      </c>
      <c r="D163" s="59">
        <v>22.95</v>
      </c>
      <c r="E163" s="59">
        <v>2340.9</v>
      </c>
      <c r="F163">
        <f>VLOOKUP(RevenueTable[[#This Row],[Units Sold]],Discounttable[],2)</f>
        <v>0.4375</v>
      </c>
      <c r="G163">
        <f>ROUND((1-RevenueTable[[#This Row],[Discount on Total Revenue]])*RevenueTable[[#This Row],[Total Revenue]],2)</f>
        <v>1316.76</v>
      </c>
    </row>
    <row r="164" spans="1:7" x14ac:dyDescent="0.3">
      <c r="A164" s="46">
        <v>43042</v>
      </c>
      <c r="B164" t="s">
        <v>7</v>
      </c>
      <c r="C164">
        <v>46</v>
      </c>
      <c r="D164" s="59">
        <v>43.95</v>
      </c>
      <c r="E164" s="59">
        <v>2021.7</v>
      </c>
      <c r="F164">
        <f>VLOOKUP(RevenueTable[[#This Row],[Units Sold]],Discounttable[],2)</f>
        <v>0.25</v>
      </c>
      <c r="G164">
        <f>ROUND((1-RevenueTable[[#This Row],[Discount on Total Revenue]])*RevenueTable[[#This Row],[Total Revenue]],2)</f>
        <v>1516.28</v>
      </c>
    </row>
    <row r="165" spans="1:7" x14ac:dyDescent="0.3">
      <c r="A165" s="46">
        <v>43046</v>
      </c>
      <c r="B165" t="s">
        <v>7</v>
      </c>
      <c r="C165">
        <v>182</v>
      </c>
      <c r="D165" s="59">
        <v>43.95</v>
      </c>
      <c r="E165" s="59">
        <v>7998.9000000000005</v>
      </c>
      <c r="F165">
        <f>VLOOKUP(RevenueTable[[#This Row],[Units Sold]],Discounttable[],2)</f>
        <v>0.55000000000000004</v>
      </c>
      <c r="G165">
        <f>ROUND((1-RevenueTable[[#This Row],[Discount on Total Revenue]])*RevenueTable[[#This Row],[Total Revenue]],2)</f>
        <v>3599.51</v>
      </c>
    </row>
    <row r="166" spans="1:7" x14ac:dyDescent="0.3">
      <c r="A166" s="46">
        <v>43041</v>
      </c>
      <c r="B166" t="s">
        <v>7</v>
      </c>
      <c r="C166">
        <v>190</v>
      </c>
      <c r="D166" s="59">
        <v>43.95</v>
      </c>
      <c r="E166" s="59">
        <v>8350.5</v>
      </c>
      <c r="F166">
        <f>VLOOKUP(RevenueTable[[#This Row],[Units Sold]],Discounttable[],2)</f>
        <v>0.55000000000000004</v>
      </c>
      <c r="G166">
        <f>ROUND((1-RevenueTable[[#This Row],[Discount on Total Revenue]])*RevenueTable[[#This Row],[Total Revenue]],2)</f>
        <v>3757.73</v>
      </c>
    </row>
    <row r="167" spans="1:7" x14ac:dyDescent="0.3">
      <c r="A167" s="46">
        <v>43045</v>
      </c>
      <c r="B167" t="s">
        <v>5</v>
      </c>
      <c r="C167">
        <v>13</v>
      </c>
      <c r="D167" s="59">
        <v>22.95</v>
      </c>
      <c r="E167" s="59">
        <v>298.34999999999997</v>
      </c>
      <c r="F167">
        <f>VLOOKUP(RevenueTable[[#This Row],[Units Sold]],Discounttable[],2)</f>
        <v>0.25</v>
      </c>
      <c r="G167">
        <f>ROUND((1-RevenueTable[[#This Row],[Discount on Total Revenue]])*RevenueTable[[#This Row],[Total Revenue]],2)</f>
        <v>223.76</v>
      </c>
    </row>
    <row r="168" spans="1:7" x14ac:dyDescent="0.3">
      <c r="A168" s="46">
        <v>43045</v>
      </c>
      <c r="B168" t="s">
        <v>8</v>
      </c>
      <c r="C168">
        <v>132</v>
      </c>
      <c r="D168" s="59">
        <v>21.95</v>
      </c>
      <c r="E168" s="59">
        <v>2897.4</v>
      </c>
      <c r="F168">
        <f>VLOOKUP(RevenueTable[[#This Row],[Units Sold]],Discounttable[],2)</f>
        <v>0.4375</v>
      </c>
      <c r="G168">
        <f>ROUND((1-RevenueTable[[#This Row],[Discount on Total Revenue]])*RevenueTable[[#This Row],[Total Revenue]],2)</f>
        <v>1629.79</v>
      </c>
    </row>
    <row r="169" spans="1:7" x14ac:dyDescent="0.3">
      <c r="A169" s="46">
        <v>43047</v>
      </c>
      <c r="B169" t="s">
        <v>8</v>
      </c>
      <c r="C169">
        <v>52</v>
      </c>
      <c r="D169" s="59">
        <v>21.95</v>
      </c>
      <c r="E169" s="59">
        <v>1141.3999999999999</v>
      </c>
      <c r="F169">
        <f>VLOOKUP(RevenueTable[[#This Row],[Units Sold]],Discounttable[],2)</f>
        <v>0.375</v>
      </c>
      <c r="G169">
        <f>ROUND((1-RevenueTable[[#This Row],[Discount on Total Revenue]])*RevenueTable[[#This Row],[Total Revenue]],2)</f>
        <v>713.38</v>
      </c>
    </row>
    <row r="170" spans="1:7" x14ac:dyDescent="0.3">
      <c r="A170" s="46">
        <v>43040</v>
      </c>
      <c r="B170" t="s">
        <v>13</v>
      </c>
      <c r="C170">
        <v>105</v>
      </c>
      <c r="D170" s="59">
        <v>14.95</v>
      </c>
      <c r="E170" s="59">
        <v>1569.75</v>
      </c>
      <c r="F170">
        <f>VLOOKUP(RevenueTable[[#This Row],[Units Sold]],Discounttable[],2)</f>
        <v>0.4375</v>
      </c>
      <c r="G170">
        <f>ROUND((1-RevenueTable[[#This Row],[Discount on Total Revenue]])*RevenueTable[[#This Row],[Total Revenue]],2)</f>
        <v>882.98</v>
      </c>
    </row>
    <row r="171" spans="1:7" x14ac:dyDescent="0.3">
      <c r="A171" s="46">
        <v>43041</v>
      </c>
      <c r="B171" t="s">
        <v>5</v>
      </c>
      <c r="C171">
        <v>142</v>
      </c>
      <c r="D171" s="59">
        <v>22.95</v>
      </c>
      <c r="E171" s="59">
        <v>3258.9</v>
      </c>
      <c r="F171">
        <f>VLOOKUP(RevenueTable[[#This Row],[Units Sold]],Discounttable[],2)</f>
        <v>0.4375</v>
      </c>
      <c r="G171">
        <f>ROUND((1-RevenueTable[[#This Row],[Discount on Total Revenue]])*RevenueTable[[#This Row],[Total Revenue]],2)</f>
        <v>1833.13</v>
      </c>
    </row>
    <row r="172" spans="1:7" x14ac:dyDescent="0.3">
      <c r="A172" s="46">
        <v>43047</v>
      </c>
      <c r="B172" t="s">
        <v>5</v>
      </c>
      <c r="C172">
        <v>132</v>
      </c>
      <c r="D172" s="59">
        <v>22.95</v>
      </c>
      <c r="E172" s="59">
        <v>3029.4</v>
      </c>
      <c r="F172">
        <f>VLOOKUP(RevenueTable[[#This Row],[Units Sold]],Discounttable[],2)</f>
        <v>0.4375</v>
      </c>
      <c r="G172">
        <f>ROUND((1-RevenueTable[[#This Row],[Discount on Total Revenue]])*RevenueTable[[#This Row],[Total Revenue]],2)</f>
        <v>1704.04</v>
      </c>
    </row>
    <row r="173" spans="1:7" x14ac:dyDescent="0.3">
      <c r="A173" s="46">
        <v>43043</v>
      </c>
      <c r="B173" t="s">
        <v>13</v>
      </c>
      <c r="C173">
        <v>116</v>
      </c>
      <c r="D173" s="59">
        <v>14.95</v>
      </c>
      <c r="E173" s="59">
        <v>1734.1999999999998</v>
      </c>
      <c r="F173">
        <f>VLOOKUP(RevenueTable[[#This Row],[Units Sold]],Discounttable[],2)</f>
        <v>0.4375</v>
      </c>
      <c r="G173">
        <f>ROUND((1-RevenueTable[[#This Row],[Discount on Total Revenue]])*RevenueTable[[#This Row],[Total Revenue]],2)</f>
        <v>975.49</v>
      </c>
    </row>
    <row r="174" spans="1:7" x14ac:dyDescent="0.3">
      <c r="A174" s="46">
        <v>43047</v>
      </c>
      <c r="B174" t="s">
        <v>13</v>
      </c>
      <c r="C174">
        <v>89</v>
      </c>
      <c r="D174" s="59">
        <v>14.95</v>
      </c>
      <c r="E174" s="59">
        <v>1330.55</v>
      </c>
      <c r="F174">
        <f>VLOOKUP(RevenueTable[[#This Row],[Units Sold]],Discounttable[],2)</f>
        <v>0.375</v>
      </c>
      <c r="G174">
        <f>ROUND((1-RevenueTable[[#This Row],[Discount on Total Revenue]])*RevenueTable[[#This Row],[Total Revenue]],2)</f>
        <v>831.59</v>
      </c>
    </row>
    <row r="175" spans="1:7" x14ac:dyDescent="0.3">
      <c r="A175" s="46">
        <v>43042</v>
      </c>
      <c r="B175" t="s">
        <v>7</v>
      </c>
      <c r="C175">
        <v>156</v>
      </c>
      <c r="D175" s="59">
        <v>43.95</v>
      </c>
      <c r="E175" s="59">
        <v>6856.2000000000007</v>
      </c>
      <c r="F175">
        <f>VLOOKUP(RevenueTable[[#This Row],[Units Sold]],Discounttable[],2)</f>
        <v>0.5</v>
      </c>
      <c r="G175">
        <f>ROUND((1-RevenueTable[[#This Row],[Discount on Total Revenue]])*RevenueTable[[#This Row],[Total Revenue]],2)</f>
        <v>3428.1</v>
      </c>
    </row>
    <row r="176" spans="1:7" x14ac:dyDescent="0.3">
      <c r="A176" s="46">
        <v>43045</v>
      </c>
      <c r="B176" t="s">
        <v>7</v>
      </c>
      <c r="C176">
        <v>136</v>
      </c>
      <c r="D176" s="59">
        <v>43.95</v>
      </c>
      <c r="E176" s="59">
        <v>5977.2000000000007</v>
      </c>
      <c r="F176">
        <f>VLOOKUP(RevenueTable[[#This Row],[Units Sold]],Discounttable[],2)</f>
        <v>0.4375</v>
      </c>
      <c r="G176">
        <f>ROUND((1-RevenueTable[[#This Row],[Discount on Total Revenue]])*RevenueTable[[#This Row],[Total Revenue]],2)</f>
        <v>3362.18</v>
      </c>
    </row>
    <row r="177" spans="1:7" x14ac:dyDescent="0.3">
      <c r="A177" s="46">
        <v>43043</v>
      </c>
      <c r="B177" t="s">
        <v>8</v>
      </c>
      <c r="C177">
        <v>77</v>
      </c>
      <c r="D177" s="59">
        <v>21.95</v>
      </c>
      <c r="E177" s="59">
        <v>1690.1499999999999</v>
      </c>
      <c r="F177">
        <f>VLOOKUP(RevenueTable[[#This Row],[Units Sold]],Discounttable[],2)</f>
        <v>0.375</v>
      </c>
      <c r="G177">
        <f>ROUND((1-RevenueTable[[#This Row],[Discount on Total Revenue]])*RevenueTable[[#This Row],[Total Revenue]],2)</f>
        <v>1056.3399999999999</v>
      </c>
    </row>
    <row r="178" spans="1:7" x14ac:dyDescent="0.3">
      <c r="A178" s="46">
        <v>43044</v>
      </c>
      <c r="B178" t="s">
        <v>5</v>
      </c>
      <c r="C178">
        <v>97</v>
      </c>
      <c r="D178" s="59">
        <v>22.95</v>
      </c>
      <c r="E178" s="59">
        <v>2226.15</v>
      </c>
      <c r="F178">
        <f>VLOOKUP(RevenueTable[[#This Row],[Units Sold]],Discounttable[],2)</f>
        <v>0.4375</v>
      </c>
      <c r="G178">
        <f>ROUND((1-RevenueTable[[#This Row],[Discount on Total Revenue]])*RevenueTable[[#This Row],[Total Revenue]],2)</f>
        <v>1252.21</v>
      </c>
    </row>
    <row r="179" spans="1:7" x14ac:dyDescent="0.3">
      <c r="A179" s="46">
        <v>43047</v>
      </c>
      <c r="B179" t="s">
        <v>8</v>
      </c>
      <c r="C179">
        <v>121</v>
      </c>
      <c r="D179" s="59">
        <v>21.95</v>
      </c>
      <c r="E179" s="59">
        <v>2655.95</v>
      </c>
      <c r="F179">
        <f>VLOOKUP(RevenueTable[[#This Row],[Units Sold]],Discounttable[],2)</f>
        <v>0.4375</v>
      </c>
      <c r="G179">
        <f>ROUND((1-RevenueTable[[#This Row],[Discount on Total Revenue]])*RevenueTable[[#This Row],[Total Revenue]],2)</f>
        <v>1493.97</v>
      </c>
    </row>
    <row r="180" spans="1:7" x14ac:dyDescent="0.3">
      <c r="A180" s="46">
        <v>43041</v>
      </c>
      <c r="B180" t="s">
        <v>7</v>
      </c>
      <c r="C180">
        <v>3</v>
      </c>
      <c r="D180" s="59">
        <v>43.95</v>
      </c>
      <c r="E180" s="59">
        <v>131.85000000000002</v>
      </c>
      <c r="F180">
        <f>VLOOKUP(RevenueTable[[#This Row],[Units Sold]],Discounttable[],2)</f>
        <v>0</v>
      </c>
      <c r="G180">
        <f>ROUND((1-RevenueTable[[#This Row],[Discount on Total Revenue]])*RevenueTable[[#This Row],[Total Revenue]],2)</f>
        <v>131.85</v>
      </c>
    </row>
    <row r="181" spans="1:7" x14ac:dyDescent="0.3">
      <c r="A181" s="46">
        <v>43043</v>
      </c>
      <c r="B181" t="s">
        <v>5</v>
      </c>
      <c r="C181">
        <v>56</v>
      </c>
      <c r="D181" s="59">
        <v>22.95</v>
      </c>
      <c r="E181" s="59">
        <v>1285.2</v>
      </c>
      <c r="F181">
        <f>VLOOKUP(RevenueTable[[#This Row],[Units Sold]],Discounttable[],2)</f>
        <v>0.375</v>
      </c>
      <c r="G181">
        <f>ROUND((1-RevenueTable[[#This Row],[Discount on Total Revenue]])*RevenueTable[[#This Row],[Total Revenue]],2)</f>
        <v>803.25</v>
      </c>
    </row>
    <row r="182" spans="1:7" x14ac:dyDescent="0.3">
      <c r="A182" s="46">
        <v>43043</v>
      </c>
      <c r="B182" t="s">
        <v>7</v>
      </c>
      <c r="C182">
        <v>177</v>
      </c>
      <c r="D182" s="59">
        <v>43.95</v>
      </c>
      <c r="E182" s="59">
        <v>7779.1500000000005</v>
      </c>
      <c r="F182">
        <f>VLOOKUP(RevenueTable[[#This Row],[Units Sold]],Discounttable[],2)</f>
        <v>0.55000000000000004</v>
      </c>
      <c r="G182">
        <f>ROUND((1-RevenueTable[[#This Row],[Discount on Total Revenue]])*RevenueTable[[#This Row],[Total Revenue]],2)</f>
        <v>3500.62</v>
      </c>
    </row>
    <row r="183" spans="1:7" x14ac:dyDescent="0.3">
      <c r="A183" s="46">
        <v>43043</v>
      </c>
      <c r="B183" t="s">
        <v>7</v>
      </c>
      <c r="C183">
        <v>140</v>
      </c>
      <c r="D183" s="59">
        <v>43.95</v>
      </c>
      <c r="E183" s="59">
        <v>6153</v>
      </c>
      <c r="F183">
        <f>VLOOKUP(RevenueTable[[#This Row],[Units Sold]],Discounttable[],2)</f>
        <v>0.4375</v>
      </c>
      <c r="G183">
        <f>ROUND((1-RevenueTable[[#This Row],[Discount on Total Revenue]])*RevenueTable[[#This Row],[Total Revenue]],2)</f>
        <v>3461.06</v>
      </c>
    </row>
    <row r="184" spans="1:7" x14ac:dyDescent="0.3">
      <c r="A184" s="46">
        <v>43047</v>
      </c>
      <c r="B184" t="s">
        <v>8</v>
      </c>
      <c r="C184">
        <v>173</v>
      </c>
      <c r="D184" s="59">
        <v>21.95</v>
      </c>
      <c r="E184" s="59">
        <v>3797.35</v>
      </c>
      <c r="F184">
        <f>VLOOKUP(RevenueTable[[#This Row],[Units Sold]],Discounttable[],2)</f>
        <v>0.55000000000000004</v>
      </c>
      <c r="G184">
        <f>ROUND((1-RevenueTable[[#This Row],[Discount on Total Revenue]])*RevenueTable[[#This Row],[Total Revenue]],2)</f>
        <v>1708.81</v>
      </c>
    </row>
    <row r="185" spans="1:7" x14ac:dyDescent="0.3">
      <c r="A185" s="46">
        <v>43045</v>
      </c>
      <c r="B185" t="s">
        <v>8</v>
      </c>
      <c r="C185">
        <v>27</v>
      </c>
      <c r="D185" s="59">
        <v>21.95</v>
      </c>
      <c r="E185" s="59">
        <v>592.65</v>
      </c>
      <c r="F185">
        <f>VLOOKUP(RevenueTable[[#This Row],[Units Sold]],Discounttable[],2)</f>
        <v>0.25</v>
      </c>
      <c r="G185">
        <f>ROUND((1-RevenueTable[[#This Row],[Discount on Total Revenue]])*RevenueTable[[#This Row],[Total Revenue]],2)</f>
        <v>444.49</v>
      </c>
    </row>
    <row r="186" spans="1:7" x14ac:dyDescent="0.3">
      <c r="A186" s="46">
        <v>43043</v>
      </c>
      <c r="B186" t="s">
        <v>7</v>
      </c>
      <c r="C186">
        <v>87</v>
      </c>
      <c r="D186" s="59">
        <v>43.95</v>
      </c>
      <c r="E186" s="59">
        <v>3823.65</v>
      </c>
      <c r="F186">
        <f>VLOOKUP(RevenueTable[[#This Row],[Units Sold]],Discounttable[],2)</f>
        <v>0.375</v>
      </c>
      <c r="G186">
        <f>ROUND((1-RevenueTable[[#This Row],[Discount on Total Revenue]])*RevenueTable[[#This Row],[Total Revenue]],2)</f>
        <v>2389.7800000000002</v>
      </c>
    </row>
    <row r="187" spans="1:7" x14ac:dyDescent="0.3">
      <c r="A187" s="46">
        <v>43043</v>
      </c>
      <c r="B187" t="s">
        <v>8</v>
      </c>
      <c r="C187">
        <v>20</v>
      </c>
      <c r="D187" s="59">
        <v>21.95</v>
      </c>
      <c r="E187" s="59">
        <v>439</v>
      </c>
      <c r="F187">
        <f>VLOOKUP(RevenueTable[[#This Row],[Units Sold]],Discounttable[],2)</f>
        <v>0.25</v>
      </c>
      <c r="G187">
        <f>ROUND((1-RevenueTable[[#This Row],[Discount on Total Revenue]])*RevenueTable[[#This Row],[Total Revenue]],2)</f>
        <v>329.25</v>
      </c>
    </row>
    <row r="188" spans="1:7" x14ac:dyDescent="0.3">
      <c r="A188" s="46">
        <v>43043</v>
      </c>
      <c r="B188" t="s">
        <v>7</v>
      </c>
      <c r="C188">
        <v>191</v>
      </c>
      <c r="D188" s="59">
        <v>43.95</v>
      </c>
      <c r="E188" s="59">
        <v>8394.4500000000007</v>
      </c>
      <c r="F188">
        <f>VLOOKUP(RevenueTable[[#This Row],[Units Sold]],Discounttable[],2)</f>
        <v>0.55000000000000004</v>
      </c>
      <c r="G188">
        <f>ROUND((1-RevenueTable[[#This Row],[Discount on Total Revenue]])*RevenueTable[[#This Row],[Total Revenue]],2)</f>
        <v>3777.5</v>
      </c>
    </row>
    <row r="189" spans="1:7" x14ac:dyDescent="0.3">
      <c r="A189" s="46">
        <v>43040</v>
      </c>
      <c r="B189" t="s">
        <v>7</v>
      </c>
      <c r="C189">
        <v>70</v>
      </c>
      <c r="D189" s="59">
        <v>43.95</v>
      </c>
      <c r="E189" s="59">
        <v>3076.5</v>
      </c>
      <c r="F189">
        <f>VLOOKUP(RevenueTable[[#This Row],[Units Sold]],Discounttable[],2)</f>
        <v>0.375</v>
      </c>
      <c r="G189">
        <f>ROUND((1-RevenueTable[[#This Row],[Discount on Total Revenue]])*RevenueTable[[#This Row],[Total Revenue]],2)</f>
        <v>1922.81</v>
      </c>
    </row>
    <row r="190" spans="1:7" x14ac:dyDescent="0.3">
      <c r="A190" s="46">
        <v>43043</v>
      </c>
      <c r="B190" t="s">
        <v>13</v>
      </c>
      <c r="C190">
        <v>186</v>
      </c>
      <c r="D190" s="59">
        <v>14.95</v>
      </c>
      <c r="E190" s="59">
        <v>2780.7</v>
      </c>
      <c r="F190">
        <f>VLOOKUP(RevenueTable[[#This Row],[Units Sold]],Discounttable[],2)</f>
        <v>0.55000000000000004</v>
      </c>
      <c r="G190">
        <f>ROUND((1-RevenueTable[[#This Row],[Discount on Total Revenue]])*RevenueTable[[#This Row],[Total Revenue]],2)</f>
        <v>1251.32</v>
      </c>
    </row>
    <row r="191" spans="1:7" x14ac:dyDescent="0.3">
      <c r="A191" s="46">
        <v>43043</v>
      </c>
      <c r="B191" t="s">
        <v>8</v>
      </c>
      <c r="C191">
        <v>126</v>
      </c>
      <c r="D191" s="59">
        <v>21.95</v>
      </c>
      <c r="E191" s="59">
        <v>2765.7</v>
      </c>
      <c r="F191">
        <f>VLOOKUP(RevenueTable[[#This Row],[Units Sold]],Discounttable[],2)</f>
        <v>0.4375</v>
      </c>
      <c r="G191">
        <f>ROUND((1-RevenueTable[[#This Row],[Discount on Total Revenue]])*RevenueTable[[#This Row],[Total Revenue]],2)</f>
        <v>1555.71</v>
      </c>
    </row>
    <row r="192" spans="1:7" x14ac:dyDescent="0.3">
      <c r="A192" s="46">
        <v>43040</v>
      </c>
      <c r="B192" t="s">
        <v>13</v>
      </c>
      <c r="C192">
        <v>3</v>
      </c>
      <c r="D192" s="59">
        <v>14.95</v>
      </c>
      <c r="E192" s="59">
        <v>44.849999999999994</v>
      </c>
      <c r="F192">
        <f>VLOOKUP(RevenueTable[[#This Row],[Units Sold]],Discounttable[],2)</f>
        <v>0</v>
      </c>
      <c r="G192">
        <f>ROUND((1-RevenueTable[[#This Row],[Discount on Total Revenue]])*RevenueTable[[#This Row],[Total Revenue]],2)</f>
        <v>44.85</v>
      </c>
    </row>
    <row r="193" spans="1:7" x14ac:dyDescent="0.3">
      <c r="A193" s="46">
        <v>43043</v>
      </c>
      <c r="B193" t="s">
        <v>8</v>
      </c>
      <c r="C193">
        <v>92</v>
      </c>
      <c r="D193" s="59">
        <v>21.95</v>
      </c>
      <c r="E193" s="59">
        <v>2019.3999999999999</v>
      </c>
      <c r="F193">
        <f>VLOOKUP(RevenueTable[[#This Row],[Units Sold]],Discounttable[],2)</f>
        <v>0.375</v>
      </c>
      <c r="G193">
        <f>ROUND((1-RevenueTable[[#This Row],[Discount on Total Revenue]])*RevenueTable[[#This Row],[Total Revenue]],2)</f>
        <v>1262.1300000000001</v>
      </c>
    </row>
    <row r="194" spans="1:7" x14ac:dyDescent="0.3">
      <c r="A194" s="46">
        <v>43043</v>
      </c>
      <c r="B194" t="s">
        <v>5</v>
      </c>
      <c r="C194">
        <v>3</v>
      </c>
      <c r="D194" s="59">
        <v>22.95</v>
      </c>
      <c r="E194" s="59">
        <v>68.849999999999994</v>
      </c>
      <c r="F194">
        <f>VLOOKUP(RevenueTable[[#This Row],[Units Sold]],Discounttable[],2)</f>
        <v>0</v>
      </c>
      <c r="G194">
        <f>ROUND((1-RevenueTable[[#This Row],[Discount on Total Revenue]])*RevenueTable[[#This Row],[Total Revenue]],2)</f>
        <v>68.849999999999994</v>
      </c>
    </row>
    <row r="195" spans="1:7" x14ac:dyDescent="0.3">
      <c r="A195" s="46">
        <v>43044</v>
      </c>
      <c r="B195" t="s">
        <v>7</v>
      </c>
      <c r="C195">
        <v>82</v>
      </c>
      <c r="D195" s="59">
        <v>43.95</v>
      </c>
      <c r="E195" s="59">
        <v>3603.9</v>
      </c>
      <c r="F195">
        <f>VLOOKUP(RevenueTable[[#This Row],[Units Sold]],Discounttable[],2)</f>
        <v>0.375</v>
      </c>
      <c r="G195">
        <f>ROUND((1-RevenueTable[[#This Row],[Discount on Total Revenue]])*RevenueTable[[#This Row],[Total Revenue]],2)</f>
        <v>2252.44</v>
      </c>
    </row>
    <row r="196" spans="1:7" x14ac:dyDescent="0.3">
      <c r="A196" s="46">
        <v>43040</v>
      </c>
      <c r="B196" t="s">
        <v>7</v>
      </c>
      <c r="C196">
        <v>99</v>
      </c>
      <c r="D196" s="59">
        <v>43.95</v>
      </c>
      <c r="E196" s="59">
        <v>4351.05</v>
      </c>
      <c r="F196">
        <f>VLOOKUP(RevenueTable[[#This Row],[Units Sold]],Discounttable[],2)</f>
        <v>0.4375</v>
      </c>
      <c r="G196">
        <f>ROUND((1-RevenueTable[[#This Row],[Discount on Total Revenue]])*RevenueTable[[#This Row],[Total Revenue]],2)</f>
        <v>2447.4699999999998</v>
      </c>
    </row>
    <row r="197" spans="1:7" x14ac:dyDescent="0.3">
      <c r="A197" s="46">
        <v>43045</v>
      </c>
      <c r="B197" t="s">
        <v>8</v>
      </c>
      <c r="C197">
        <v>131</v>
      </c>
      <c r="D197" s="59">
        <v>21.95</v>
      </c>
      <c r="E197" s="59">
        <v>2875.45</v>
      </c>
      <c r="F197">
        <f>VLOOKUP(RevenueTable[[#This Row],[Units Sold]],Discounttable[],2)</f>
        <v>0.4375</v>
      </c>
      <c r="G197">
        <f>ROUND((1-RevenueTable[[#This Row],[Discount on Total Revenue]])*RevenueTable[[#This Row],[Total Revenue]],2)</f>
        <v>1617.44</v>
      </c>
    </row>
    <row r="198" spans="1:7" x14ac:dyDescent="0.3">
      <c r="A198" s="46">
        <v>43040</v>
      </c>
      <c r="B198" t="s">
        <v>5</v>
      </c>
      <c r="C198">
        <v>175</v>
      </c>
      <c r="D198" s="59">
        <v>22.95</v>
      </c>
      <c r="E198" s="59">
        <v>4016.25</v>
      </c>
      <c r="F198">
        <f>VLOOKUP(RevenueTable[[#This Row],[Units Sold]],Discounttable[],2)</f>
        <v>0.55000000000000004</v>
      </c>
      <c r="G198">
        <f>ROUND((1-RevenueTable[[#This Row],[Discount on Total Revenue]])*RevenueTable[[#This Row],[Total Revenue]],2)</f>
        <v>1807.31</v>
      </c>
    </row>
    <row r="199" spans="1:7" x14ac:dyDescent="0.3">
      <c r="A199" s="46">
        <v>43043</v>
      </c>
      <c r="B199" t="s">
        <v>7</v>
      </c>
      <c r="C199">
        <v>41</v>
      </c>
      <c r="D199" s="59">
        <v>43.95</v>
      </c>
      <c r="E199" s="59">
        <v>1801.95</v>
      </c>
      <c r="F199">
        <f>VLOOKUP(RevenueTable[[#This Row],[Units Sold]],Discounttable[],2)</f>
        <v>0.25</v>
      </c>
      <c r="G199">
        <f>ROUND((1-RevenueTable[[#This Row],[Discount on Total Revenue]])*RevenueTable[[#This Row],[Total Revenue]],2)</f>
        <v>1351.46</v>
      </c>
    </row>
    <row r="200" spans="1:7" x14ac:dyDescent="0.3">
      <c r="A200" s="46">
        <v>43043</v>
      </c>
      <c r="B200" t="s">
        <v>13</v>
      </c>
      <c r="C200">
        <v>14</v>
      </c>
      <c r="D200" s="59">
        <v>14.95</v>
      </c>
      <c r="E200" s="59">
        <v>209.29999999999998</v>
      </c>
      <c r="F200">
        <f>VLOOKUP(RevenueTable[[#This Row],[Units Sold]],Discounttable[],2)</f>
        <v>0.25</v>
      </c>
      <c r="G200">
        <f>ROUND((1-RevenueTable[[#This Row],[Discount on Total Revenue]])*RevenueTable[[#This Row],[Total Revenue]],2)</f>
        <v>156.97999999999999</v>
      </c>
    </row>
    <row r="201" spans="1:7" x14ac:dyDescent="0.3">
      <c r="A201" s="46">
        <v>43045</v>
      </c>
      <c r="B201" t="s">
        <v>5</v>
      </c>
      <c r="C201">
        <v>122</v>
      </c>
      <c r="D201" s="59">
        <v>22.95</v>
      </c>
      <c r="E201" s="59">
        <v>2799.9</v>
      </c>
      <c r="F201">
        <f>VLOOKUP(RevenueTable[[#This Row],[Units Sold]],Discounttable[],2)</f>
        <v>0.4375</v>
      </c>
      <c r="G201">
        <f>ROUND((1-RevenueTable[[#This Row],[Discount on Total Revenue]])*RevenueTable[[#This Row],[Total Revenue]],2)</f>
        <v>1574.94</v>
      </c>
    </row>
    <row r="202" spans="1:7" x14ac:dyDescent="0.3">
      <c r="A202" s="46">
        <v>43041</v>
      </c>
      <c r="B202" t="s">
        <v>5</v>
      </c>
      <c r="C202">
        <v>48</v>
      </c>
      <c r="D202" s="59">
        <v>22.95</v>
      </c>
      <c r="E202" s="59">
        <v>1101.5999999999999</v>
      </c>
      <c r="F202">
        <f>VLOOKUP(RevenueTable[[#This Row],[Units Sold]],Discounttable[],2)</f>
        <v>0.375</v>
      </c>
      <c r="G202">
        <f>ROUND((1-RevenueTable[[#This Row],[Discount on Total Revenue]])*RevenueTable[[#This Row],[Total Revenue]],2)</f>
        <v>688.5</v>
      </c>
    </row>
    <row r="203" spans="1:7" x14ac:dyDescent="0.3">
      <c r="A203" s="46">
        <v>43042</v>
      </c>
      <c r="B203" t="s">
        <v>8</v>
      </c>
      <c r="C203">
        <v>57</v>
      </c>
      <c r="D203" s="59">
        <v>21.95</v>
      </c>
      <c r="E203" s="59">
        <v>1251.1499999999999</v>
      </c>
      <c r="F203">
        <f>VLOOKUP(RevenueTable[[#This Row],[Units Sold]],Discounttable[],2)</f>
        <v>0.375</v>
      </c>
      <c r="G203">
        <f>ROUND((1-RevenueTable[[#This Row],[Discount on Total Revenue]])*RevenueTable[[#This Row],[Total Revenue]],2)</f>
        <v>781.97</v>
      </c>
    </row>
    <row r="204" spans="1:7" x14ac:dyDescent="0.3">
      <c r="A204" s="46">
        <v>43047</v>
      </c>
      <c r="B204" t="s">
        <v>7</v>
      </c>
      <c r="C204">
        <v>113</v>
      </c>
      <c r="D204" s="59">
        <v>43.95</v>
      </c>
      <c r="E204" s="59">
        <v>4966.3500000000004</v>
      </c>
      <c r="F204">
        <f>VLOOKUP(RevenueTable[[#This Row],[Units Sold]],Discounttable[],2)</f>
        <v>0.4375</v>
      </c>
      <c r="G204">
        <f>ROUND((1-RevenueTable[[#This Row],[Discount on Total Revenue]])*RevenueTable[[#This Row],[Total Revenue]],2)</f>
        <v>2793.57</v>
      </c>
    </row>
    <row r="205" spans="1:7" x14ac:dyDescent="0.3">
      <c r="A205" s="46">
        <v>43047</v>
      </c>
      <c r="B205" t="s">
        <v>8</v>
      </c>
      <c r="C205">
        <v>186</v>
      </c>
      <c r="D205" s="59">
        <v>21.95</v>
      </c>
      <c r="E205" s="59">
        <v>4082.7</v>
      </c>
      <c r="F205">
        <f>VLOOKUP(RevenueTable[[#This Row],[Units Sold]],Discounttable[],2)</f>
        <v>0.55000000000000004</v>
      </c>
      <c r="G205">
        <f>ROUND((1-RevenueTable[[#This Row],[Discount on Total Revenue]])*RevenueTable[[#This Row],[Total Revenue]],2)</f>
        <v>1837.22</v>
      </c>
    </row>
    <row r="206" spans="1:7" x14ac:dyDescent="0.3">
      <c r="A206" s="46">
        <v>43043</v>
      </c>
      <c r="B206" t="s">
        <v>8</v>
      </c>
      <c r="C206">
        <v>102</v>
      </c>
      <c r="D206" s="59">
        <v>21.95</v>
      </c>
      <c r="E206" s="59">
        <v>2238.9</v>
      </c>
      <c r="F206">
        <f>VLOOKUP(RevenueTable[[#This Row],[Units Sold]],Discounttable[],2)</f>
        <v>0.4375</v>
      </c>
      <c r="G206">
        <f>ROUND((1-RevenueTable[[#This Row],[Discount on Total Revenue]])*RevenueTable[[#This Row],[Total Revenue]],2)</f>
        <v>1259.3800000000001</v>
      </c>
    </row>
    <row r="207" spans="1:7" x14ac:dyDescent="0.3">
      <c r="A207" s="46">
        <v>43040</v>
      </c>
      <c r="B207" t="s">
        <v>5</v>
      </c>
      <c r="C207">
        <v>77</v>
      </c>
      <c r="D207" s="59">
        <v>22.95</v>
      </c>
      <c r="E207" s="59">
        <v>1767.1499999999999</v>
      </c>
      <c r="F207">
        <f>VLOOKUP(RevenueTable[[#This Row],[Units Sold]],Discounttable[],2)</f>
        <v>0.375</v>
      </c>
      <c r="G207">
        <f>ROUND((1-RevenueTable[[#This Row],[Discount on Total Revenue]])*RevenueTable[[#This Row],[Total Revenue]],2)</f>
        <v>1104.47</v>
      </c>
    </row>
    <row r="208" spans="1:7" x14ac:dyDescent="0.3">
      <c r="A208" s="46">
        <v>43043</v>
      </c>
      <c r="B208" t="s">
        <v>5</v>
      </c>
      <c r="C208">
        <v>4</v>
      </c>
      <c r="D208" s="59">
        <v>22.95</v>
      </c>
      <c r="E208" s="59">
        <v>91.8</v>
      </c>
      <c r="F208">
        <f>VLOOKUP(RevenueTable[[#This Row],[Units Sold]],Discounttable[],2)</f>
        <v>0</v>
      </c>
      <c r="G208">
        <f>ROUND((1-RevenueTable[[#This Row],[Discount on Total Revenue]])*RevenueTable[[#This Row],[Total Revenue]],2)</f>
        <v>91.8</v>
      </c>
    </row>
    <row r="209" spans="1:7" x14ac:dyDescent="0.3">
      <c r="A209" s="46">
        <v>43045</v>
      </c>
      <c r="B209" t="s">
        <v>13</v>
      </c>
      <c r="C209">
        <v>127</v>
      </c>
      <c r="D209" s="59">
        <v>14.95</v>
      </c>
      <c r="E209" s="59">
        <v>1898.6499999999999</v>
      </c>
      <c r="F209">
        <f>VLOOKUP(RevenueTable[[#This Row],[Units Sold]],Discounttable[],2)</f>
        <v>0.4375</v>
      </c>
      <c r="G209">
        <f>ROUND((1-RevenueTable[[#This Row],[Discount on Total Revenue]])*RevenueTable[[#This Row],[Total Revenue]],2)</f>
        <v>1067.99</v>
      </c>
    </row>
    <row r="210" spans="1:7" x14ac:dyDescent="0.3">
      <c r="A210" s="46">
        <v>43047</v>
      </c>
      <c r="B210" t="s">
        <v>5</v>
      </c>
      <c r="C210">
        <v>172</v>
      </c>
      <c r="D210" s="59">
        <v>22.95</v>
      </c>
      <c r="E210" s="59">
        <v>3947.4</v>
      </c>
      <c r="F210">
        <f>VLOOKUP(RevenueTable[[#This Row],[Units Sold]],Discounttable[],2)</f>
        <v>0.55000000000000004</v>
      </c>
      <c r="G210">
        <f>ROUND((1-RevenueTable[[#This Row],[Discount on Total Revenue]])*RevenueTable[[#This Row],[Total Revenue]],2)</f>
        <v>1776.33</v>
      </c>
    </row>
    <row r="211" spans="1:7" x14ac:dyDescent="0.3">
      <c r="A211" s="46">
        <v>43040</v>
      </c>
      <c r="B211" t="s">
        <v>8</v>
      </c>
      <c r="C211">
        <v>86</v>
      </c>
      <c r="D211" s="59">
        <v>21.95</v>
      </c>
      <c r="E211" s="59">
        <v>1887.7</v>
      </c>
      <c r="F211">
        <f>VLOOKUP(RevenueTable[[#This Row],[Units Sold]],Discounttable[],2)</f>
        <v>0.375</v>
      </c>
      <c r="G211">
        <f>ROUND((1-RevenueTable[[#This Row],[Discount on Total Revenue]])*RevenueTable[[#This Row],[Total Revenue]],2)</f>
        <v>1179.81</v>
      </c>
    </row>
    <row r="212" spans="1:7" x14ac:dyDescent="0.3">
      <c r="A212" s="46">
        <v>43044</v>
      </c>
      <c r="B212" t="s">
        <v>13</v>
      </c>
      <c r="C212">
        <v>177</v>
      </c>
      <c r="D212" s="59">
        <v>14.95</v>
      </c>
      <c r="E212" s="59">
        <v>2646.15</v>
      </c>
      <c r="F212">
        <f>VLOOKUP(RevenueTable[[#This Row],[Units Sold]],Discounttable[],2)</f>
        <v>0.55000000000000004</v>
      </c>
      <c r="G212">
        <f>ROUND((1-RevenueTable[[#This Row],[Discount on Total Revenue]])*RevenueTable[[#This Row],[Total Revenue]],2)</f>
        <v>1190.77</v>
      </c>
    </row>
    <row r="213" spans="1:7" x14ac:dyDescent="0.3">
      <c r="A213" s="46">
        <v>43041</v>
      </c>
      <c r="B213" t="s">
        <v>8</v>
      </c>
      <c r="C213">
        <v>103</v>
      </c>
      <c r="D213" s="59">
        <v>21.95</v>
      </c>
      <c r="E213" s="59">
        <v>2260.85</v>
      </c>
      <c r="F213">
        <f>VLOOKUP(RevenueTable[[#This Row],[Units Sold]],Discounttable[],2)</f>
        <v>0.4375</v>
      </c>
      <c r="G213">
        <f>ROUND((1-RevenueTable[[#This Row],[Discount on Total Revenue]])*RevenueTable[[#This Row],[Total Revenue]],2)</f>
        <v>1271.73</v>
      </c>
    </row>
    <row r="214" spans="1:7" x14ac:dyDescent="0.3">
      <c r="A214" s="46">
        <v>43043</v>
      </c>
      <c r="B214" t="s">
        <v>13</v>
      </c>
      <c r="C214">
        <v>84</v>
      </c>
      <c r="D214" s="59">
        <v>14.95</v>
      </c>
      <c r="E214" s="59">
        <v>1255.8</v>
      </c>
      <c r="F214">
        <f>VLOOKUP(RevenueTable[[#This Row],[Units Sold]],Discounttable[],2)</f>
        <v>0.375</v>
      </c>
      <c r="G214">
        <f>ROUND((1-RevenueTable[[#This Row],[Discount on Total Revenue]])*RevenueTable[[#This Row],[Total Revenue]],2)</f>
        <v>784.88</v>
      </c>
    </row>
    <row r="215" spans="1:7" x14ac:dyDescent="0.3">
      <c r="A215" s="46">
        <v>43044</v>
      </c>
      <c r="B215" t="s">
        <v>8</v>
      </c>
      <c r="C215">
        <v>118</v>
      </c>
      <c r="D215" s="59">
        <v>21.95</v>
      </c>
      <c r="E215" s="59">
        <v>2590.1</v>
      </c>
      <c r="F215">
        <f>VLOOKUP(RevenueTable[[#This Row],[Units Sold]],Discounttable[],2)</f>
        <v>0.4375</v>
      </c>
      <c r="G215">
        <f>ROUND((1-RevenueTable[[#This Row],[Discount on Total Revenue]])*RevenueTable[[#This Row],[Total Revenue]],2)</f>
        <v>1456.93</v>
      </c>
    </row>
    <row r="216" spans="1:7" x14ac:dyDescent="0.3">
      <c r="A216" s="46">
        <v>43046</v>
      </c>
      <c r="B216" t="s">
        <v>5</v>
      </c>
      <c r="C216">
        <v>66</v>
      </c>
      <c r="D216" s="59">
        <v>22.95</v>
      </c>
      <c r="E216" s="59">
        <v>1514.7</v>
      </c>
      <c r="F216">
        <f>VLOOKUP(RevenueTable[[#This Row],[Units Sold]],Discounttable[],2)</f>
        <v>0.375</v>
      </c>
      <c r="G216">
        <f>ROUND((1-RevenueTable[[#This Row],[Discount on Total Revenue]])*RevenueTable[[#This Row],[Total Revenue]],2)</f>
        <v>946.69</v>
      </c>
    </row>
    <row r="217" spans="1:7" x14ac:dyDescent="0.3">
      <c r="A217" s="46">
        <v>43042</v>
      </c>
      <c r="B217" t="s">
        <v>8</v>
      </c>
      <c r="C217">
        <v>168</v>
      </c>
      <c r="D217" s="59">
        <v>21.95</v>
      </c>
      <c r="E217" s="59">
        <v>3687.6</v>
      </c>
      <c r="F217">
        <f>VLOOKUP(RevenueTable[[#This Row],[Units Sold]],Discounttable[],2)</f>
        <v>0.55000000000000004</v>
      </c>
      <c r="G217">
        <f>ROUND((1-RevenueTable[[#This Row],[Discount on Total Revenue]])*RevenueTable[[#This Row],[Total Revenue]],2)</f>
        <v>1659.42</v>
      </c>
    </row>
    <row r="218" spans="1:7" x14ac:dyDescent="0.3">
      <c r="A218" s="46">
        <v>43043</v>
      </c>
      <c r="B218" t="s">
        <v>13</v>
      </c>
      <c r="C218">
        <v>155</v>
      </c>
      <c r="D218" s="59">
        <v>14.95</v>
      </c>
      <c r="E218" s="59">
        <v>2317.25</v>
      </c>
      <c r="F218">
        <f>VLOOKUP(RevenueTable[[#This Row],[Units Sold]],Discounttable[],2)</f>
        <v>0.5</v>
      </c>
      <c r="G218">
        <f>ROUND((1-RevenueTable[[#This Row],[Discount on Total Revenue]])*RevenueTable[[#This Row],[Total Revenue]],2)</f>
        <v>1158.6300000000001</v>
      </c>
    </row>
    <row r="219" spans="1:7" x14ac:dyDescent="0.3">
      <c r="A219" s="46">
        <v>43045</v>
      </c>
      <c r="B219" t="s">
        <v>13</v>
      </c>
      <c r="C219">
        <v>145</v>
      </c>
      <c r="D219" s="59">
        <v>14.95</v>
      </c>
      <c r="E219" s="59">
        <v>2167.75</v>
      </c>
      <c r="F219">
        <f>VLOOKUP(RevenueTable[[#This Row],[Units Sold]],Discounttable[],2)</f>
        <v>0.5</v>
      </c>
      <c r="G219">
        <f>ROUND((1-RevenueTable[[#This Row],[Discount on Total Revenue]])*RevenueTable[[#This Row],[Total Revenue]],2)</f>
        <v>1083.8800000000001</v>
      </c>
    </row>
    <row r="220" spans="1:7" x14ac:dyDescent="0.3">
      <c r="A220" s="46">
        <v>43040</v>
      </c>
      <c r="B220" t="s">
        <v>13</v>
      </c>
      <c r="C220">
        <v>98</v>
      </c>
      <c r="D220" s="59">
        <v>14.95</v>
      </c>
      <c r="E220" s="59">
        <v>1465.1</v>
      </c>
      <c r="F220">
        <f>VLOOKUP(RevenueTable[[#This Row],[Units Sold]],Discounttable[],2)</f>
        <v>0.4375</v>
      </c>
      <c r="G220">
        <f>ROUND((1-RevenueTable[[#This Row],[Discount on Total Revenue]])*RevenueTable[[#This Row],[Total Revenue]],2)</f>
        <v>824.12</v>
      </c>
    </row>
    <row r="221" spans="1:7" x14ac:dyDescent="0.3">
      <c r="A221" s="46">
        <v>43045</v>
      </c>
      <c r="B221" t="s">
        <v>13</v>
      </c>
      <c r="C221">
        <v>46</v>
      </c>
      <c r="D221" s="59">
        <v>14.95</v>
      </c>
      <c r="E221" s="59">
        <v>687.69999999999993</v>
      </c>
      <c r="F221">
        <f>VLOOKUP(RevenueTable[[#This Row],[Units Sold]],Discounttable[],2)</f>
        <v>0.25</v>
      </c>
      <c r="G221">
        <f>ROUND((1-RevenueTable[[#This Row],[Discount on Total Revenue]])*RevenueTable[[#This Row],[Total Revenue]],2)</f>
        <v>515.78</v>
      </c>
    </row>
    <row r="222" spans="1:7" x14ac:dyDescent="0.3">
      <c r="A222" s="46">
        <v>43040</v>
      </c>
      <c r="B222" t="s">
        <v>7</v>
      </c>
      <c r="C222">
        <v>42</v>
      </c>
      <c r="D222" s="59">
        <v>43.95</v>
      </c>
      <c r="E222" s="59">
        <v>1845.9</v>
      </c>
      <c r="F222">
        <f>VLOOKUP(RevenueTable[[#This Row],[Units Sold]],Discounttable[],2)</f>
        <v>0.25</v>
      </c>
      <c r="G222">
        <f>ROUND((1-RevenueTable[[#This Row],[Discount on Total Revenue]])*RevenueTable[[#This Row],[Total Revenue]],2)</f>
        <v>1384.43</v>
      </c>
    </row>
    <row r="223" spans="1:7" x14ac:dyDescent="0.3">
      <c r="A223" s="46">
        <v>43047</v>
      </c>
      <c r="B223" t="s">
        <v>13</v>
      </c>
      <c r="C223">
        <v>156</v>
      </c>
      <c r="D223" s="59">
        <v>14.95</v>
      </c>
      <c r="E223" s="59">
        <v>2332.1999999999998</v>
      </c>
      <c r="F223">
        <f>VLOOKUP(RevenueTable[[#This Row],[Units Sold]],Discounttable[],2)</f>
        <v>0.5</v>
      </c>
      <c r="G223">
        <f>ROUND((1-RevenueTable[[#This Row],[Discount on Total Revenue]])*RevenueTable[[#This Row],[Total Revenue]],2)</f>
        <v>1166.0999999999999</v>
      </c>
    </row>
    <row r="224" spans="1:7" x14ac:dyDescent="0.3">
      <c r="A224" s="46">
        <v>43040</v>
      </c>
      <c r="B224" t="s">
        <v>8</v>
      </c>
      <c r="C224">
        <v>20</v>
      </c>
      <c r="D224" s="59">
        <v>21.95</v>
      </c>
      <c r="E224" s="59">
        <v>439</v>
      </c>
      <c r="F224">
        <f>VLOOKUP(RevenueTable[[#This Row],[Units Sold]],Discounttable[],2)</f>
        <v>0.25</v>
      </c>
      <c r="G224">
        <f>ROUND((1-RevenueTable[[#This Row],[Discount on Total Revenue]])*RevenueTable[[#This Row],[Total Revenue]],2)</f>
        <v>329.25</v>
      </c>
    </row>
    <row r="225" spans="1:7" x14ac:dyDescent="0.3">
      <c r="A225" s="46">
        <v>43045</v>
      </c>
      <c r="B225" t="s">
        <v>13</v>
      </c>
      <c r="C225">
        <v>75</v>
      </c>
      <c r="D225" s="59">
        <v>14.95</v>
      </c>
      <c r="E225" s="59">
        <v>1121.25</v>
      </c>
      <c r="F225">
        <f>VLOOKUP(RevenueTable[[#This Row],[Units Sold]],Discounttable[],2)</f>
        <v>0.375</v>
      </c>
      <c r="G225">
        <f>ROUND((1-RevenueTable[[#This Row],[Discount on Total Revenue]])*RevenueTable[[#This Row],[Total Revenue]],2)</f>
        <v>700.78</v>
      </c>
    </row>
    <row r="226" spans="1:7" x14ac:dyDescent="0.3">
      <c r="A226" s="46">
        <v>43042</v>
      </c>
      <c r="B226" t="s">
        <v>13</v>
      </c>
      <c r="C226">
        <v>108</v>
      </c>
      <c r="D226" s="59">
        <v>14.95</v>
      </c>
      <c r="E226" s="59">
        <v>1614.6</v>
      </c>
      <c r="F226">
        <f>VLOOKUP(RevenueTable[[#This Row],[Units Sold]],Discounttable[],2)</f>
        <v>0.4375</v>
      </c>
      <c r="G226">
        <f>ROUND((1-RevenueTable[[#This Row],[Discount on Total Revenue]])*RevenueTable[[#This Row],[Total Revenue]],2)</f>
        <v>908.21</v>
      </c>
    </row>
    <row r="227" spans="1:7" x14ac:dyDescent="0.3">
      <c r="A227" s="46">
        <v>43043</v>
      </c>
      <c r="B227" t="s">
        <v>5</v>
      </c>
      <c r="C227">
        <v>129</v>
      </c>
      <c r="D227" s="59">
        <v>22.95</v>
      </c>
      <c r="E227" s="59">
        <v>2960.5499999999997</v>
      </c>
      <c r="F227">
        <f>VLOOKUP(RevenueTable[[#This Row],[Units Sold]],Discounttable[],2)</f>
        <v>0.4375</v>
      </c>
      <c r="G227">
        <f>ROUND((1-RevenueTable[[#This Row],[Discount on Total Revenue]])*RevenueTable[[#This Row],[Total Revenue]],2)</f>
        <v>1665.31</v>
      </c>
    </row>
    <row r="228" spans="1:7" x14ac:dyDescent="0.3">
      <c r="A228" s="46">
        <v>43044</v>
      </c>
      <c r="B228" t="s">
        <v>7</v>
      </c>
      <c r="C228">
        <v>113</v>
      </c>
      <c r="D228" s="59">
        <v>43.95</v>
      </c>
      <c r="E228" s="59">
        <v>4966.3500000000004</v>
      </c>
      <c r="F228">
        <f>VLOOKUP(RevenueTable[[#This Row],[Units Sold]],Discounttable[],2)</f>
        <v>0.4375</v>
      </c>
      <c r="G228">
        <f>ROUND((1-RevenueTable[[#This Row],[Discount on Total Revenue]])*RevenueTable[[#This Row],[Total Revenue]],2)</f>
        <v>2793.57</v>
      </c>
    </row>
    <row r="229" spans="1:7" x14ac:dyDescent="0.3">
      <c r="A229" s="46">
        <v>43040</v>
      </c>
      <c r="B229" t="s">
        <v>5</v>
      </c>
      <c r="C229">
        <v>118</v>
      </c>
      <c r="D229" s="59">
        <v>22.95</v>
      </c>
      <c r="E229" s="59">
        <v>2708.1</v>
      </c>
      <c r="F229">
        <f>VLOOKUP(RevenueTable[[#This Row],[Units Sold]],Discounttable[],2)</f>
        <v>0.4375</v>
      </c>
      <c r="G229">
        <f>ROUND((1-RevenueTable[[#This Row],[Discount on Total Revenue]])*RevenueTable[[#This Row],[Total Revenue]],2)</f>
        <v>1523.31</v>
      </c>
    </row>
    <row r="230" spans="1:7" x14ac:dyDescent="0.3">
      <c r="A230" s="46">
        <v>43041</v>
      </c>
      <c r="B230" t="s">
        <v>7</v>
      </c>
      <c r="C230">
        <v>46</v>
      </c>
      <c r="D230" s="59">
        <v>43.95</v>
      </c>
      <c r="E230" s="59">
        <v>2021.7</v>
      </c>
      <c r="F230">
        <f>VLOOKUP(RevenueTable[[#This Row],[Units Sold]],Discounttable[],2)</f>
        <v>0.25</v>
      </c>
      <c r="G230">
        <f>ROUND((1-RevenueTable[[#This Row],[Discount on Total Revenue]])*RevenueTable[[#This Row],[Total Revenue]],2)</f>
        <v>1516.28</v>
      </c>
    </row>
    <row r="231" spans="1:7" x14ac:dyDescent="0.3">
      <c r="A231" s="46">
        <v>43043</v>
      </c>
      <c r="B231" t="s">
        <v>13</v>
      </c>
      <c r="C231">
        <v>72</v>
      </c>
      <c r="D231" s="59">
        <v>14.95</v>
      </c>
      <c r="E231" s="59">
        <v>1076.3999999999999</v>
      </c>
      <c r="F231">
        <f>VLOOKUP(RevenueTable[[#This Row],[Units Sold]],Discounttable[],2)</f>
        <v>0.375</v>
      </c>
      <c r="G231">
        <f>ROUND((1-RevenueTable[[#This Row],[Discount on Total Revenue]])*RevenueTable[[#This Row],[Total Revenue]],2)</f>
        <v>672.75</v>
      </c>
    </row>
    <row r="232" spans="1:7" x14ac:dyDescent="0.3">
      <c r="A232" s="46">
        <v>43046</v>
      </c>
      <c r="B232" t="s">
        <v>13</v>
      </c>
      <c r="C232">
        <v>96</v>
      </c>
      <c r="D232" s="59">
        <v>14.95</v>
      </c>
      <c r="E232" s="59">
        <v>1435.1999999999998</v>
      </c>
      <c r="F232">
        <f>VLOOKUP(RevenueTable[[#This Row],[Units Sold]],Discounttable[],2)</f>
        <v>0.4375</v>
      </c>
      <c r="G232">
        <f>ROUND((1-RevenueTable[[#This Row],[Discount on Total Revenue]])*RevenueTable[[#This Row],[Total Revenue]],2)</f>
        <v>807.3</v>
      </c>
    </row>
    <row r="233" spans="1:7" x14ac:dyDescent="0.3">
      <c r="A233" s="46">
        <v>43042</v>
      </c>
      <c r="B233" t="s">
        <v>13</v>
      </c>
      <c r="C233">
        <v>69</v>
      </c>
      <c r="D233" s="59">
        <v>14.95</v>
      </c>
      <c r="E233" s="59">
        <v>1031.55</v>
      </c>
      <c r="F233">
        <f>VLOOKUP(RevenueTable[[#This Row],[Units Sold]],Discounttable[],2)</f>
        <v>0.375</v>
      </c>
      <c r="G233">
        <f>ROUND((1-RevenueTable[[#This Row],[Discount on Total Revenue]])*RevenueTable[[#This Row],[Total Revenue]],2)</f>
        <v>644.72</v>
      </c>
    </row>
    <row r="234" spans="1:7" x14ac:dyDescent="0.3">
      <c r="A234" s="46">
        <v>43042</v>
      </c>
      <c r="B234" t="s">
        <v>5</v>
      </c>
      <c r="C234">
        <v>149</v>
      </c>
      <c r="D234" s="59">
        <v>22.95</v>
      </c>
      <c r="E234" s="59">
        <v>3419.5499999999997</v>
      </c>
      <c r="F234">
        <f>VLOOKUP(RevenueTable[[#This Row],[Units Sold]],Discounttable[],2)</f>
        <v>0.5</v>
      </c>
      <c r="G234">
        <f>ROUND((1-RevenueTable[[#This Row],[Discount on Total Revenue]])*RevenueTable[[#This Row],[Total Revenue]],2)</f>
        <v>1709.78</v>
      </c>
    </row>
    <row r="235" spans="1:7" x14ac:dyDescent="0.3">
      <c r="A235" s="46">
        <v>43040</v>
      </c>
      <c r="B235" t="s">
        <v>5</v>
      </c>
      <c r="C235">
        <v>38</v>
      </c>
      <c r="D235" s="59">
        <v>22.95</v>
      </c>
      <c r="E235" s="59">
        <v>872.1</v>
      </c>
      <c r="F235">
        <f>VLOOKUP(RevenueTable[[#This Row],[Units Sold]],Discounttable[],2)</f>
        <v>0.25</v>
      </c>
      <c r="G235">
        <f>ROUND((1-RevenueTable[[#This Row],[Discount on Total Revenue]])*RevenueTable[[#This Row],[Total Revenue]],2)</f>
        <v>654.08000000000004</v>
      </c>
    </row>
    <row r="236" spans="1:7" x14ac:dyDescent="0.3">
      <c r="A236" s="46">
        <v>43042</v>
      </c>
      <c r="B236" t="s">
        <v>7</v>
      </c>
      <c r="C236">
        <v>161</v>
      </c>
      <c r="D236" s="59">
        <v>43.95</v>
      </c>
      <c r="E236" s="59">
        <v>7075.9500000000007</v>
      </c>
      <c r="F236">
        <f>VLOOKUP(RevenueTable[[#This Row],[Units Sold]],Discounttable[],2)</f>
        <v>0.5</v>
      </c>
      <c r="G236">
        <f>ROUND((1-RevenueTable[[#This Row],[Discount on Total Revenue]])*RevenueTable[[#This Row],[Total Revenue]],2)</f>
        <v>3537.98</v>
      </c>
    </row>
    <row r="237" spans="1:7" x14ac:dyDescent="0.3">
      <c r="A237" s="46">
        <v>43043</v>
      </c>
      <c r="B237" t="s">
        <v>13</v>
      </c>
      <c r="C237">
        <v>157</v>
      </c>
      <c r="D237" s="59">
        <v>14.95</v>
      </c>
      <c r="E237" s="59">
        <v>2347.15</v>
      </c>
      <c r="F237">
        <f>VLOOKUP(RevenueTable[[#This Row],[Units Sold]],Discounttable[],2)</f>
        <v>0.5</v>
      </c>
      <c r="G237">
        <f>ROUND((1-RevenueTable[[#This Row],[Discount on Total Revenue]])*RevenueTable[[#This Row],[Total Revenue]],2)</f>
        <v>1173.58</v>
      </c>
    </row>
    <row r="238" spans="1:7" x14ac:dyDescent="0.3">
      <c r="A238" s="46">
        <v>43040</v>
      </c>
      <c r="B238" t="s">
        <v>7</v>
      </c>
      <c r="C238">
        <v>86</v>
      </c>
      <c r="D238" s="59">
        <v>43.95</v>
      </c>
      <c r="E238" s="59">
        <v>3779.7000000000003</v>
      </c>
      <c r="F238">
        <f>VLOOKUP(RevenueTable[[#This Row],[Units Sold]],Discounttable[],2)</f>
        <v>0.375</v>
      </c>
      <c r="G238">
        <f>ROUND((1-RevenueTable[[#This Row],[Discount on Total Revenue]])*RevenueTable[[#This Row],[Total Revenue]],2)</f>
        <v>2362.31</v>
      </c>
    </row>
    <row r="239" spans="1:7" x14ac:dyDescent="0.3">
      <c r="A239" s="46">
        <v>43042</v>
      </c>
      <c r="B239" t="s">
        <v>5</v>
      </c>
      <c r="C239">
        <v>78</v>
      </c>
      <c r="D239" s="59">
        <v>22.95</v>
      </c>
      <c r="E239" s="59">
        <v>1790.1</v>
      </c>
      <c r="F239">
        <f>VLOOKUP(RevenueTable[[#This Row],[Units Sold]],Discounttable[],2)</f>
        <v>0.375</v>
      </c>
      <c r="G239">
        <f>ROUND((1-RevenueTable[[#This Row],[Discount on Total Revenue]])*RevenueTable[[#This Row],[Total Revenue]],2)</f>
        <v>1118.81</v>
      </c>
    </row>
    <row r="240" spans="1:7" x14ac:dyDescent="0.3">
      <c r="A240" s="46">
        <v>43040</v>
      </c>
      <c r="B240" t="s">
        <v>13</v>
      </c>
      <c r="C240">
        <v>125</v>
      </c>
      <c r="D240" s="59">
        <v>14.95</v>
      </c>
      <c r="E240" s="59">
        <v>1868.75</v>
      </c>
      <c r="F240">
        <f>VLOOKUP(RevenueTable[[#This Row],[Units Sold]],Discounttable[],2)</f>
        <v>0.4375</v>
      </c>
      <c r="G240">
        <f>ROUND((1-RevenueTable[[#This Row],[Discount on Total Revenue]])*RevenueTable[[#This Row],[Total Revenue]],2)</f>
        <v>1051.17</v>
      </c>
    </row>
    <row r="241" spans="1:7" x14ac:dyDescent="0.3">
      <c r="A241" s="46">
        <v>43045</v>
      </c>
      <c r="B241" t="s">
        <v>13</v>
      </c>
      <c r="C241">
        <v>48</v>
      </c>
      <c r="D241" s="59">
        <v>14.95</v>
      </c>
      <c r="E241" s="59">
        <v>717.59999999999991</v>
      </c>
      <c r="F241">
        <f>VLOOKUP(RevenueTable[[#This Row],[Units Sold]],Discounttable[],2)</f>
        <v>0.375</v>
      </c>
      <c r="G241">
        <f>ROUND((1-RevenueTable[[#This Row],[Discount on Total Revenue]])*RevenueTable[[#This Row],[Total Revenue]],2)</f>
        <v>448.5</v>
      </c>
    </row>
    <row r="242" spans="1:7" x14ac:dyDescent="0.3">
      <c r="A242" s="46">
        <v>43047</v>
      </c>
      <c r="B242" t="s">
        <v>5</v>
      </c>
      <c r="C242">
        <v>71</v>
      </c>
      <c r="D242" s="59">
        <v>22.95</v>
      </c>
      <c r="E242" s="59">
        <v>1629.45</v>
      </c>
      <c r="F242">
        <f>VLOOKUP(RevenueTable[[#This Row],[Units Sold]],Discounttable[],2)</f>
        <v>0.375</v>
      </c>
      <c r="G242">
        <f>ROUND((1-RevenueTable[[#This Row],[Discount on Total Revenue]])*RevenueTable[[#This Row],[Total Revenue]],2)</f>
        <v>1018.41</v>
      </c>
    </row>
    <row r="243" spans="1:7" x14ac:dyDescent="0.3">
      <c r="A243" s="46">
        <v>43043</v>
      </c>
      <c r="B243" t="s">
        <v>13</v>
      </c>
      <c r="C243">
        <v>32</v>
      </c>
      <c r="D243" s="59">
        <v>14.95</v>
      </c>
      <c r="E243" s="59">
        <v>478.4</v>
      </c>
      <c r="F243">
        <f>VLOOKUP(RevenueTable[[#This Row],[Units Sold]],Discounttable[],2)</f>
        <v>0.25</v>
      </c>
      <c r="G243">
        <f>ROUND((1-RevenueTable[[#This Row],[Discount on Total Revenue]])*RevenueTable[[#This Row],[Total Revenue]],2)</f>
        <v>358.8</v>
      </c>
    </row>
    <row r="244" spans="1:7" x14ac:dyDescent="0.3">
      <c r="A244" s="46">
        <v>43045</v>
      </c>
      <c r="B244" t="s">
        <v>8</v>
      </c>
      <c r="C244">
        <v>161</v>
      </c>
      <c r="D244" s="59">
        <v>21.95</v>
      </c>
      <c r="E244" s="59">
        <v>3533.95</v>
      </c>
      <c r="F244">
        <f>VLOOKUP(RevenueTable[[#This Row],[Units Sold]],Discounttable[],2)</f>
        <v>0.5</v>
      </c>
      <c r="G244">
        <f>ROUND((1-RevenueTable[[#This Row],[Discount on Total Revenue]])*RevenueTable[[#This Row],[Total Revenue]],2)</f>
        <v>1766.98</v>
      </c>
    </row>
    <row r="245" spans="1:7" x14ac:dyDescent="0.3">
      <c r="A245" s="46">
        <v>43047</v>
      </c>
      <c r="B245" t="s">
        <v>13</v>
      </c>
      <c r="C245">
        <v>65</v>
      </c>
      <c r="D245" s="59">
        <v>14.95</v>
      </c>
      <c r="E245" s="59">
        <v>971.75</v>
      </c>
      <c r="F245">
        <f>VLOOKUP(RevenueTable[[#This Row],[Units Sold]],Discounttable[],2)</f>
        <v>0.375</v>
      </c>
      <c r="G245">
        <f>ROUND((1-RevenueTable[[#This Row],[Discount on Total Revenue]])*RevenueTable[[#This Row],[Total Revenue]],2)</f>
        <v>607.34</v>
      </c>
    </row>
    <row r="246" spans="1:7" x14ac:dyDescent="0.3">
      <c r="A246" s="46">
        <v>43040</v>
      </c>
      <c r="B246" t="s">
        <v>7</v>
      </c>
      <c r="C246">
        <v>189</v>
      </c>
      <c r="D246" s="59">
        <v>43.95</v>
      </c>
      <c r="E246" s="59">
        <v>8306.5500000000011</v>
      </c>
      <c r="F246">
        <f>VLOOKUP(RevenueTable[[#This Row],[Units Sold]],Discounttable[],2)</f>
        <v>0.55000000000000004</v>
      </c>
      <c r="G246">
        <f>ROUND((1-RevenueTable[[#This Row],[Discount on Total Revenue]])*RevenueTable[[#This Row],[Total Revenue]],2)</f>
        <v>3737.95</v>
      </c>
    </row>
    <row r="247" spans="1:7" x14ac:dyDescent="0.3">
      <c r="A247" s="46">
        <v>43045</v>
      </c>
      <c r="B247" t="s">
        <v>5</v>
      </c>
      <c r="C247">
        <v>181</v>
      </c>
      <c r="D247" s="59">
        <v>22.95</v>
      </c>
      <c r="E247" s="59">
        <v>4153.95</v>
      </c>
      <c r="F247">
        <f>VLOOKUP(RevenueTable[[#This Row],[Units Sold]],Discounttable[],2)</f>
        <v>0.55000000000000004</v>
      </c>
      <c r="G247">
        <f>ROUND((1-RevenueTable[[#This Row],[Discount on Total Revenue]])*RevenueTable[[#This Row],[Total Revenue]],2)</f>
        <v>1869.28</v>
      </c>
    </row>
    <row r="248" spans="1:7" x14ac:dyDescent="0.3">
      <c r="A248" s="46">
        <v>43044</v>
      </c>
      <c r="B248" t="s">
        <v>13</v>
      </c>
      <c r="C248">
        <v>48</v>
      </c>
      <c r="D248" s="59">
        <v>14.95</v>
      </c>
      <c r="E248" s="59">
        <v>717.59999999999991</v>
      </c>
      <c r="F248">
        <f>VLOOKUP(RevenueTable[[#This Row],[Units Sold]],Discounttable[],2)</f>
        <v>0.375</v>
      </c>
      <c r="G248">
        <f>ROUND((1-RevenueTable[[#This Row],[Discount on Total Revenue]])*RevenueTable[[#This Row],[Total Revenue]],2)</f>
        <v>448.5</v>
      </c>
    </row>
    <row r="249" spans="1:7" x14ac:dyDescent="0.3">
      <c r="A249" s="46">
        <v>43044</v>
      </c>
      <c r="B249" t="s">
        <v>13</v>
      </c>
      <c r="C249">
        <v>132</v>
      </c>
      <c r="D249" s="59">
        <v>14.95</v>
      </c>
      <c r="E249" s="59">
        <v>1973.3999999999999</v>
      </c>
      <c r="F249">
        <f>VLOOKUP(RevenueTable[[#This Row],[Units Sold]],Discounttable[],2)</f>
        <v>0.4375</v>
      </c>
      <c r="G249">
        <f>ROUND((1-RevenueTable[[#This Row],[Discount on Total Revenue]])*RevenueTable[[#This Row],[Total Revenue]],2)</f>
        <v>1110.04</v>
      </c>
    </row>
    <row r="250" spans="1:7" x14ac:dyDescent="0.3">
      <c r="A250" s="46">
        <v>43045</v>
      </c>
      <c r="B250" t="s">
        <v>5</v>
      </c>
      <c r="C250">
        <v>54</v>
      </c>
      <c r="D250" s="59">
        <v>22.95</v>
      </c>
      <c r="E250" s="59">
        <v>1239.3</v>
      </c>
      <c r="F250">
        <f>VLOOKUP(RevenueTable[[#This Row],[Units Sold]],Discounttable[],2)</f>
        <v>0.375</v>
      </c>
      <c r="G250">
        <f>ROUND((1-RevenueTable[[#This Row],[Discount on Total Revenue]])*RevenueTable[[#This Row],[Total Revenue]],2)</f>
        <v>774.56</v>
      </c>
    </row>
    <row r="251" spans="1:7" x14ac:dyDescent="0.3">
      <c r="A251" s="46">
        <v>43044</v>
      </c>
      <c r="B251" t="s">
        <v>5</v>
      </c>
      <c r="C251">
        <v>103</v>
      </c>
      <c r="D251" s="59">
        <v>22.95</v>
      </c>
      <c r="E251" s="59">
        <v>2363.85</v>
      </c>
      <c r="F251">
        <f>VLOOKUP(RevenueTable[[#This Row],[Units Sold]],Discounttable[],2)</f>
        <v>0.4375</v>
      </c>
      <c r="G251">
        <f>ROUND((1-RevenueTable[[#This Row],[Discount on Total Revenue]])*RevenueTable[[#This Row],[Total Revenue]],2)</f>
        <v>1329.67</v>
      </c>
    </row>
    <row r="252" spans="1:7" x14ac:dyDescent="0.3">
      <c r="A252" s="46">
        <v>43043</v>
      </c>
      <c r="B252" t="s">
        <v>8</v>
      </c>
      <c r="C252">
        <v>129</v>
      </c>
      <c r="D252" s="59">
        <v>21.95</v>
      </c>
      <c r="E252" s="59">
        <v>2831.5499999999997</v>
      </c>
      <c r="F252">
        <f>VLOOKUP(RevenueTable[[#This Row],[Units Sold]],Discounttable[],2)</f>
        <v>0.4375</v>
      </c>
      <c r="G252">
        <f>ROUND((1-RevenueTable[[#This Row],[Discount on Total Revenue]])*RevenueTable[[#This Row],[Total Revenue]],2)</f>
        <v>1592.75</v>
      </c>
    </row>
    <row r="253" spans="1:7" x14ac:dyDescent="0.3">
      <c r="A253" s="46">
        <v>43042</v>
      </c>
      <c r="B253" t="s">
        <v>5</v>
      </c>
      <c r="C253">
        <v>104</v>
      </c>
      <c r="D253" s="59">
        <v>22.95</v>
      </c>
      <c r="E253" s="59">
        <v>2386.7999999999997</v>
      </c>
      <c r="F253">
        <f>VLOOKUP(RevenueTable[[#This Row],[Units Sold]],Discounttable[],2)</f>
        <v>0.4375</v>
      </c>
      <c r="G253">
        <f>ROUND((1-RevenueTable[[#This Row],[Discount on Total Revenue]])*RevenueTable[[#This Row],[Total Revenue]],2)</f>
        <v>1342.58</v>
      </c>
    </row>
    <row r="254" spans="1:7" x14ac:dyDescent="0.3">
      <c r="A254" s="46">
        <v>43047</v>
      </c>
      <c r="B254" t="s">
        <v>8</v>
      </c>
      <c r="C254">
        <v>121</v>
      </c>
      <c r="D254" s="59">
        <v>21.95</v>
      </c>
      <c r="E254" s="59">
        <v>2655.95</v>
      </c>
      <c r="F254">
        <f>VLOOKUP(RevenueTable[[#This Row],[Units Sold]],Discounttable[],2)</f>
        <v>0.4375</v>
      </c>
      <c r="G254">
        <f>ROUND((1-RevenueTable[[#This Row],[Discount on Total Revenue]])*RevenueTable[[#This Row],[Total Revenue]],2)</f>
        <v>1493.97</v>
      </c>
    </row>
    <row r="255" spans="1:7" x14ac:dyDescent="0.3">
      <c r="A255" s="46">
        <v>43043</v>
      </c>
      <c r="B255" t="s">
        <v>13</v>
      </c>
      <c r="C255">
        <v>148</v>
      </c>
      <c r="D255" s="59">
        <v>14.95</v>
      </c>
      <c r="E255" s="59">
        <v>2212.6</v>
      </c>
      <c r="F255">
        <f>VLOOKUP(RevenueTable[[#This Row],[Units Sold]],Discounttable[],2)</f>
        <v>0.5</v>
      </c>
      <c r="G255">
        <f>ROUND((1-RevenueTable[[#This Row],[Discount on Total Revenue]])*RevenueTable[[#This Row],[Total Revenue]],2)</f>
        <v>1106.3</v>
      </c>
    </row>
    <row r="256" spans="1:7" x14ac:dyDescent="0.3">
      <c r="A256" s="46">
        <v>43044</v>
      </c>
      <c r="B256" t="s">
        <v>13</v>
      </c>
      <c r="C256">
        <v>79</v>
      </c>
      <c r="D256" s="59">
        <v>14.95</v>
      </c>
      <c r="E256" s="59">
        <v>1181.05</v>
      </c>
      <c r="F256">
        <f>VLOOKUP(RevenueTable[[#This Row],[Units Sold]],Discounttable[],2)</f>
        <v>0.375</v>
      </c>
      <c r="G256">
        <f>ROUND((1-RevenueTable[[#This Row],[Discount on Total Revenue]])*RevenueTable[[#This Row],[Total Revenue]],2)</f>
        <v>738.16</v>
      </c>
    </row>
    <row r="257" spans="1:7" x14ac:dyDescent="0.3">
      <c r="A257" s="46">
        <v>43046</v>
      </c>
      <c r="B257" t="s">
        <v>5</v>
      </c>
      <c r="C257">
        <v>180</v>
      </c>
      <c r="D257" s="59">
        <v>22.95</v>
      </c>
      <c r="E257" s="59">
        <v>4131</v>
      </c>
      <c r="F257">
        <f>VLOOKUP(RevenueTable[[#This Row],[Units Sold]],Discounttable[],2)</f>
        <v>0.55000000000000004</v>
      </c>
      <c r="G257">
        <f>ROUND((1-RevenueTable[[#This Row],[Discount on Total Revenue]])*RevenueTable[[#This Row],[Total Revenue]],2)</f>
        <v>1858.95</v>
      </c>
    </row>
    <row r="258" spans="1:7" x14ac:dyDescent="0.3">
      <c r="A258" s="46">
        <v>43040</v>
      </c>
      <c r="B258" t="s">
        <v>5</v>
      </c>
      <c r="C258">
        <v>154</v>
      </c>
      <c r="D258" s="59">
        <v>22.95</v>
      </c>
      <c r="E258" s="59">
        <v>3534.2999999999997</v>
      </c>
      <c r="F258">
        <f>VLOOKUP(RevenueTable[[#This Row],[Units Sold]],Discounttable[],2)</f>
        <v>0.5</v>
      </c>
      <c r="G258">
        <f>ROUND((1-RevenueTable[[#This Row],[Discount on Total Revenue]])*RevenueTable[[#This Row],[Total Revenue]],2)</f>
        <v>1767.15</v>
      </c>
    </row>
    <row r="259" spans="1:7" x14ac:dyDescent="0.3">
      <c r="A259" s="46">
        <v>43047</v>
      </c>
      <c r="B259" t="s">
        <v>13</v>
      </c>
      <c r="C259">
        <v>103</v>
      </c>
      <c r="D259" s="59">
        <v>14.95</v>
      </c>
      <c r="E259" s="59">
        <v>1539.85</v>
      </c>
      <c r="F259">
        <f>VLOOKUP(RevenueTable[[#This Row],[Units Sold]],Discounttable[],2)</f>
        <v>0.4375</v>
      </c>
      <c r="G259">
        <f>ROUND((1-RevenueTable[[#This Row],[Discount on Total Revenue]])*RevenueTable[[#This Row],[Total Revenue]],2)</f>
        <v>866.17</v>
      </c>
    </row>
    <row r="260" spans="1:7" x14ac:dyDescent="0.3">
      <c r="A260" s="46">
        <v>43047</v>
      </c>
      <c r="B260" t="s">
        <v>7</v>
      </c>
      <c r="C260">
        <v>161</v>
      </c>
      <c r="D260" s="59">
        <v>43.95</v>
      </c>
      <c r="E260" s="59">
        <v>7075.9500000000007</v>
      </c>
      <c r="F260">
        <f>VLOOKUP(RevenueTable[[#This Row],[Units Sold]],Discounttable[],2)</f>
        <v>0.5</v>
      </c>
      <c r="G260">
        <f>ROUND((1-RevenueTable[[#This Row],[Discount on Total Revenue]])*RevenueTable[[#This Row],[Total Revenue]],2)</f>
        <v>3537.98</v>
      </c>
    </row>
    <row r="261" spans="1:7" x14ac:dyDescent="0.3">
      <c r="A261" s="46">
        <v>43047</v>
      </c>
      <c r="B261" t="s">
        <v>5</v>
      </c>
      <c r="C261">
        <v>96</v>
      </c>
      <c r="D261" s="59">
        <v>22.95</v>
      </c>
      <c r="E261" s="59">
        <v>2203.1999999999998</v>
      </c>
      <c r="F261">
        <f>VLOOKUP(RevenueTable[[#This Row],[Units Sold]],Discounttable[],2)</f>
        <v>0.4375</v>
      </c>
      <c r="G261">
        <f>ROUND((1-RevenueTable[[#This Row],[Discount on Total Revenue]])*RevenueTable[[#This Row],[Total Revenue]],2)</f>
        <v>1239.3</v>
      </c>
    </row>
    <row r="262" spans="1:7" x14ac:dyDescent="0.3">
      <c r="A262" s="46">
        <v>43044</v>
      </c>
      <c r="B262" t="s">
        <v>5</v>
      </c>
      <c r="C262">
        <v>180</v>
      </c>
      <c r="D262" s="59">
        <v>22.95</v>
      </c>
      <c r="E262" s="59">
        <v>4131</v>
      </c>
      <c r="F262">
        <f>VLOOKUP(RevenueTable[[#This Row],[Units Sold]],Discounttable[],2)</f>
        <v>0.55000000000000004</v>
      </c>
      <c r="G262">
        <f>ROUND((1-RevenueTable[[#This Row],[Discount on Total Revenue]])*RevenueTable[[#This Row],[Total Revenue]],2)</f>
        <v>1858.95</v>
      </c>
    </row>
    <row r="263" spans="1:7" x14ac:dyDescent="0.3">
      <c r="A263" s="46">
        <v>43047</v>
      </c>
      <c r="B263" t="s">
        <v>13</v>
      </c>
      <c r="C263">
        <v>40</v>
      </c>
      <c r="D263" s="59">
        <v>14.95</v>
      </c>
      <c r="E263" s="59">
        <v>598</v>
      </c>
      <c r="F263">
        <f>VLOOKUP(RevenueTable[[#This Row],[Units Sold]],Discounttable[],2)</f>
        <v>0.25</v>
      </c>
      <c r="G263">
        <f>ROUND((1-RevenueTable[[#This Row],[Discount on Total Revenue]])*RevenueTable[[#This Row],[Total Revenue]],2)</f>
        <v>448.5</v>
      </c>
    </row>
    <row r="264" spans="1:7" x14ac:dyDescent="0.3">
      <c r="A264" s="46">
        <v>43043</v>
      </c>
      <c r="B264" t="s">
        <v>8</v>
      </c>
      <c r="C264">
        <v>127</v>
      </c>
      <c r="D264" s="59">
        <v>21.95</v>
      </c>
      <c r="E264" s="59">
        <v>2787.65</v>
      </c>
      <c r="F264">
        <f>VLOOKUP(RevenueTable[[#This Row],[Units Sold]],Discounttable[],2)</f>
        <v>0.4375</v>
      </c>
      <c r="G264">
        <f>ROUND((1-RevenueTable[[#This Row],[Discount on Total Revenue]])*RevenueTable[[#This Row],[Total Revenue]],2)</f>
        <v>1568.05</v>
      </c>
    </row>
    <row r="265" spans="1:7" x14ac:dyDescent="0.3">
      <c r="A265" s="46">
        <v>43047</v>
      </c>
      <c r="B265" t="s">
        <v>7</v>
      </c>
      <c r="C265">
        <v>165</v>
      </c>
      <c r="D265" s="59">
        <v>43.95</v>
      </c>
      <c r="E265" s="59">
        <v>7251.7500000000009</v>
      </c>
      <c r="F265">
        <f>VLOOKUP(RevenueTable[[#This Row],[Units Sold]],Discounttable[],2)</f>
        <v>0.5</v>
      </c>
      <c r="G265">
        <f>ROUND((1-RevenueTable[[#This Row],[Discount on Total Revenue]])*RevenueTable[[#This Row],[Total Revenue]],2)</f>
        <v>3625.88</v>
      </c>
    </row>
    <row r="266" spans="1:7" x14ac:dyDescent="0.3">
      <c r="A266" s="46">
        <v>43047</v>
      </c>
      <c r="B266" t="s">
        <v>7</v>
      </c>
      <c r="C266">
        <v>148</v>
      </c>
      <c r="D266" s="59">
        <v>43.95</v>
      </c>
      <c r="E266" s="59">
        <v>6504.6</v>
      </c>
      <c r="F266">
        <f>VLOOKUP(RevenueTable[[#This Row],[Units Sold]],Discounttable[],2)</f>
        <v>0.5</v>
      </c>
      <c r="G266">
        <f>ROUND((1-RevenueTable[[#This Row],[Discount on Total Revenue]])*RevenueTable[[#This Row],[Total Revenue]],2)</f>
        <v>3252.3</v>
      </c>
    </row>
    <row r="267" spans="1:7" x14ac:dyDescent="0.3">
      <c r="A267" s="46">
        <v>43045</v>
      </c>
      <c r="B267" t="s">
        <v>5</v>
      </c>
      <c r="C267">
        <v>132</v>
      </c>
      <c r="D267" s="59">
        <v>22.95</v>
      </c>
      <c r="E267" s="59">
        <v>3029.4</v>
      </c>
      <c r="F267">
        <f>VLOOKUP(RevenueTable[[#This Row],[Units Sold]],Discounttable[],2)</f>
        <v>0.4375</v>
      </c>
      <c r="G267">
        <f>ROUND((1-RevenueTable[[#This Row],[Discount on Total Revenue]])*RevenueTable[[#This Row],[Total Revenue]],2)</f>
        <v>1704.04</v>
      </c>
    </row>
    <row r="268" spans="1:7" x14ac:dyDescent="0.3">
      <c r="A268" s="46">
        <v>43045</v>
      </c>
      <c r="B268" t="s">
        <v>7</v>
      </c>
      <c r="C268">
        <v>24</v>
      </c>
      <c r="D268" s="59">
        <v>43.95</v>
      </c>
      <c r="E268" s="59">
        <v>1054.8000000000002</v>
      </c>
      <c r="F268">
        <f>VLOOKUP(RevenueTable[[#This Row],[Units Sold]],Discounttable[],2)</f>
        <v>0.25</v>
      </c>
      <c r="G268">
        <f>ROUND((1-RevenueTable[[#This Row],[Discount on Total Revenue]])*RevenueTable[[#This Row],[Total Revenue]],2)</f>
        <v>791.1</v>
      </c>
    </row>
    <row r="269" spans="1:7" x14ac:dyDescent="0.3">
      <c r="A269" s="46">
        <v>43042</v>
      </c>
      <c r="B269" t="s">
        <v>13</v>
      </c>
      <c r="C269">
        <v>131</v>
      </c>
      <c r="D269" s="59">
        <v>14.95</v>
      </c>
      <c r="E269" s="59">
        <v>1958.4499999999998</v>
      </c>
      <c r="F269">
        <f>VLOOKUP(RevenueTable[[#This Row],[Units Sold]],Discounttable[],2)</f>
        <v>0.4375</v>
      </c>
      <c r="G269">
        <f>ROUND((1-RevenueTable[[#This Row],[Discount on Total Revenue]])*RevenueTable[[#This Row],[Total Revenue]],2)</f>
        <v>1101.6300000000001</v>
      </c>
    </row>
    <row r="270" spans="1:7" x14ac:dyDescent="0.3">
      <c r="A270" s="46">
        <v>43045</v>
      </c>
      <c r="B270" t="s">
        <v>7</v>
      </c>
      <c r="C270">
        <v>38</v>
      </c>
      <c r="D270" s="59">
        <v>43.95</v>
      </c>
      <c r="E270" s="59">
        <v>1670.1000000000001</v>
      </c>
      <c r="F270">
        <f>VLOOKUP(RevenueTable[[#This Row],[Units Sold]],Discounttable[],2)</f>
        <v>0.25</v>
      </c>
      <c r="G270">
        <f>ROUND((1-RevenueTable[[#This Row],[Discount on Total Revenue]])*RevenueTable[[#This Row],[Total Revenue]],2)</f>
        <v>1252.58</v>
      </c>
    </row>
    <row r="271" spans="1:7" x14ac:dyDescent="0.3">
      <c r="A271" s="46">
        <v>43042</v>
      </c>
      <c r="B271" t="s">
        <v>7</v>
      </c>
      <c r="C271">
        <v>114</v>
      </c>
      <c r="D271" s="59">
        <v>43.95</v>
      </c>
      <c r="E271" s="59">
        <v>5010.3</v>
      </c>
      <c r="F271">
        <f>VLOOKUP(RevenueTable[[#This Row],[Units Sold]],Discounttable[],2)</f>
        <v>0.4375</v>
      </c>
      <c r="G271">
        <f>ROUND((1-RevenueTable[[#This Row],[Discount on Total Revenue]])*RevenueTable[[#This Row],[Total Revenue]],2)</f>
        <v>2818.29</v>
      </c>
    </row>
    <row r="272" spans="1:7" x14ac:dyDescent="0.3">
      <c r="A272" s="46">
        <v>43042</v>
      </c>
      <c r="B272" t="s">
        <v>8</v>
      </c>
      <c r="C272">
        <v>27</v>
      </c>
      <c r="D272" s="59">
        <v>21.95</v>
      </c>
      <c r="E272" s="59">
        <v>592.65</v>
      </c>
      <c r="F272">
        <f>VLOOKUP(RevenueTable[[#This Row],[Units Sold]],Discounttable[],2)</f>
        <v>0.25</v>
      </c>
      <c r="G272">
        <f>ROUND((1-RevenueTable[[#This Row],[Discount on Total Revenue]])*RevenueTable[[#This Row],[Total Revenue]],2)</f>
        <v>444.49</v>
      </c>
    </row>
    <row r="273" spans="1:7" x14ac:dyDescent="0.3">
      <c r="A273" s="46">
        <v>43046</v>
      </c>
      <c r="B273" t="s">
        <v>8</v>
      </c>
      <c r="C273">
        <v>29</v>
      </c>
      <c r="D273" s="59">
        <v>21.95</v>
      </c>
      <c r="E273" s="59">
        <v>636.54999999999995</v>
      </c>
      <c r="F273">
        <f>VLOOKUP(RevenueTable[[#This Row],[Units Sold]],Discounttable[],2)</f>
        <v>0.25</v>
      </c>
      <c r="G273">
        <f>ROUND((1-RevenueTable[[#This Row],[Discount on Total Revenue]])*RevenueTable[[#This Row],[Total Revenue]],2)</f>
        <v>477.41</v>
      </c>
    </row>
    <row r="274" spans="1:7" x14ac:dyDescent="0.3">
      <c r="A274" s="46">
        <v>43041</v>
      </c>
      <c r="B274" t="s">
        <v>7</v>
      </c>
      <c r="C274">
        <v>155</v>
      </c>
      <c r="D274" s="59">
        <v>43.95</v>
      </c>
      <c r="E274" s="59">
        <v>6812.25</v>
      </c>
      <c r="F274">
        <f>VLOOKUP(RevenueTable[[#This Row],[Units Sold]],Discounttable[],2)</f>
        <v>0.5</v>
      </c>
      <c r="G274">
        <f>ROUND((1-RevenueTable[[#This Row],[Discount on Total Revenue]])*RevenueTable[[#This Row],[Total Revenue]],2)</f>
        <v>3406.13</v>
      </c>
    </row>
    <row r="275" spans="1:7" x14ac:dyDescent="0.3">
      <c r="A275" s="46">
        <v>43041</v>
      </c>
      <c r="B275" t="s">
        <v>7</v>
      </c>
      <c r="C275">
        <v>45</v>
      </c>
      <c r="D275" s="59">
        <v>43.95</v>
      </c>
      <c r="E275" s="59">
        <v>1977.7500000000002</v>
      </c>
      <c r="F275">
        <f>VLOOKUP(RevenueTable[[#This Row],[Units Sold]],Discounttable[],2)</f>
        <v>0.25</v>
      </c>
      <c r="G275">
        <f>ROUND((1-RevenueTable[[#This Row],[Discount on Total Revenue]])*RevenueTable[[#This Row],[Total Revenue]],2)</f>
        <v>1483.31</v>
      </c>
    </row>
    <row r="276" spans="1:7" x14ac:dyDescent="0.3">
      <c r="A276" s="46">
        <v>43043</v>
      </c>
      <c r="B276" t="s">
        <v>5</v>
      </c>
      <c r="C276">
        <v>156</v>
      </c>
      <c r="D276" s="59">
        <v>22.95</v>
      </c>
      <c r="E276" s="59">
        <v>3580.2</v>
      </c>
      <c r="F276">
        <f>VLOOKUP(RevenueTable[[#This Row],[Units Sold]],Discounttable[],2)</f>
        <v>0.5</v>
      </c>
      <c r="G276">
        <f>ROUND((1-RevenueTable[[#This Row],[Discount on Total Revenue]])*RevenueTable[[#This Row],[Total Revenue]],2)</f>
        <v>1790.1</v>
      </c>
    </row>
    <row r="277" spans="1:7" x14ac:dyDescent="0.3">
      <c r="A277" s="46">
        <v>43043</v>
      </c>
      <c r="B277" t="s">
        <v>8</v>
      </c>
      <c r="C277">
        <v>81</v>
      </c>
      <c r="D277" s="59">
        <v>21.95</v>
      </c>
      <c r="E277" s="59">
        <v>1777.95</v>
      </c>
      <c r="F277">
        <f>VLOOKUP(RevenueTable[[#This Row],[Units Sold]],Discounttable[],2)</f>
        <v>0.375</v>
      </c>
      <c r="G277">
        <f>ROUND((1-RevenueTable[[#This Row],[Discount on Total Revenue]])*RevenueTable[[#This Row],[Total Revenue]],2)</f>
        <v>1111.22</v>
      </c>
    </row>
    <row r="278" spans="1:7" x14ac:dyDescent="0.3">
      <c r="A278" s="46">
        <v>43040</v>
      </c>
      <c r="B278" t="s">
        <v>13</v>
      </c>
      <c r="C278">
        <v>56</v>
      </c>
      <c r="D278" s="59">
        <v>14.95</v>
      </c>
      <c r="E278" s="59">
        <v>837.19999999999993</v>
      </c>
      <c r="F278">
        <f>VLOOKUP(RevenueTable[[#This Row],[Units Sold]],Discounttable[],2)</f>
        <v>0.375</v>
      </c>
      <c r="G278">
        <f>ROUND((1-RevenueTable[[#This Row],[Discount on Total Revenue]])*RevenueTable[[#This Row],[Total Revenue]],2)</f>
        <v>523.25</v>
      </c>
    </row>
    <row r="279" spans="1:7" x14ac:dyDescent="0.3">
      <c r="A279" s="46">
        <v>43043</v>
      </c>
      <c r="B279" t="s">
        <v>8</v>
      </c>
      <c r="C279">
        <v>12</v>
      </c>
      <c r="D279" s="59">
        <v>21.95</v>
      </c>
      <c r="E279" s="59">
        <v>263.39999999999998</v>
      </c>
      <c r="F279">
        <f>VLOOKUP(RevenueTable[[#This Row],[Units Sold]],Discounttable[],2)</f>
        <v>0.25</v>
      </c>
      <c r="G279">
        <f>ROUND((1-RevenueTable[[#This Row],[Discount on Total Revenue]])*RevenueTable[[#This Row],[Total Revenue]],2)</f>
        <v>197.55</v>
      </c>
    </row>
    <row r="280" spans="1:7" x14ac:dyDescent="0.3">
      <c r="A280" s="46">
        <v>43046</v>
      </c>
      <c r="B280" t="s">
        <v>7</v>
      </c>
      <c r="C280">
        <v>116</v>
      </c>
      <c r="D280" s="59">
        <v>43.95</v>
      </c>
      <c r="E280" s="59">
        <v>5098.2000000000007</v>
      </c>
      <c r="F280">
        <f>VLOOKUP(RevenueTable[[#This Row],[Units Sold]],Discounttable[],2)</f>
        <v>0.4375</v>
      </c>
      <c r="G280">
        <f>ROUND((1-RevenueTable[[#This Row],[Discount on Total Revenue]])*RevenueTable[[#This Row],[Total Revenue]],2)</f>
        <v>2867.74</v>
      </c>
    </row>
    <row r="281" spans="1:7" x14ac:dyDescent="0.3">
      <c r="A281" s="46">
        <v>43043</v>
      </c>
      <c r="B281" t="s">
        <v>13</v>
      </c>
      <c r="C281">
        <v>145</v>
      </c>
      <c r="D281" s="59">
        <v>14.95</v>
      </c>
      <c r="E281" s="59">
        <v>2167.75</v>
      </c>
      <c r="F281">
        <f>VLOOKUP(RevenueTable[[#This Row],[Units Sold]],Discounttable[],2)</f>
        <v>0.5</v>
      </c>
      <c r="G281">
        <f>ROUND((1-RevenueTable[[#This Row],[Discount on Total Revenue]])*RevenueTable[[#This Row],[Total Revenue]],2)</f>
        <v>1083.8800000000001</v>
      </c>
    </row>
    <row r="282" spans="1:7" x14ac:dyDescent="0.3">
      <c r="A282" s="46">
        <v>43044</v>
      </c>
      <c r="B282" t="s">
        <v>5</v>
      </c>
      <c r="C282">
        <v>19</v>
      </c>
      <c r="D282" s="59">
        <v>22.95</v>
      </c>
      <c r="E282" s="59">
        <v>436.05</v>
      </c>
      <c r="F282">
        <f>VLOOKUP(RevenueTable[[#This Row],[Units Sold]],Discounttable[],2)</f>
        <v>0.25</v>
      </c>
      <c r="G282">
        <f>ROUND((1-RevenueTable[[#This Row],[Discount on Total Revenue]])*RevenueTable[[#This Row],[Total Revenue]],2)</f>
        <v>327.04000000000002</v>
      </c>
    </row>
    <row r="283" spans="1:7" x14ac:dyDescent="0.3">
      <c r="A283" s="46">
        <v>43041</v>
      </c>
      <c r="B283" t="s">
        <v>13</v>
      </c>
      <c r="C283">
        <v>27</v>
      </c>
      <c r="D283" s="59">
        <v>14.95</v>
      </c>
      <c r="E283" s="59">
        <v>403.65</v>
      </c>
      <c r="F283">
        <f>VLOOKUP(RevenueTable[[#This Row],[Units Sold]],Discounttable[],2)</f>
        <v>0.25</v>
      </c>
      <c r="G283">
        <f>ROUND((1-RevenueTable[[#This Row],[Discount on Total Revenue]])*RevenueTable[[#This Row],[Total Revenue]],2)</f>
        <v>302.74</v>
      </c>
    </row>
    <row r="284" spans="1:7" x14ac:dyDescent="0.3">
      <c r="A284" s="46">
        <v>43044</v>
      </c>
      <c r="B284" t="s">
        <v>13</v>
      </c>
      <c r="C284">
        <v>180</v>
      </c>
      <c r="D284" s="59">
        <v>14.95</v>
      </c>
      <c r="E284" s="59">
        <v>2691</v>
      </c>
      <c r="F284">
        <f>VLOOKUP(RevenueTable[[#This Row],[Units Sold]],Discounttable[],2)</f>
        <v>0.55000000000000004</v>
      </c>
      <c r="G284">
        <f>ROUND((1-RevenueTable[[#This Row],[Discount on Total Revenue]])*RevenueTable[[#This Row],[Total Revenue]],2)</f>
        <v>1210.95</v>
      </c>
    </row>
    <row r="285" spans="1:7" x14ac:dyDescent="0.3">
      <c r="A285" s="46">
        <v>43044</v>
      </c>
      <c r="B285" t="s">
        <v>5</v>
      </c>
      <c r="C285">
        <v>29</v>
      </c>
      <c r="D285" s="59">
        <v>22.95</v>
      </c>
      <c r="E285" s="59">
        <v>665.55</v>
      </c>
      <c r="F285">
        <f>VLOOKUP(RevenueTable[[#This Row],[Units Sold]],Discounttable[],2)</f>
        <v>0.25</v>
      </c>
      <c r="G285">
        <f>ROUND((1-RevenueTable[[#This Row],[Discount on Total Revenue]])*RevenueTable[[#This Row],[Total Revenue]],2)</f>
        <v>499.16</v>
      </c>
    </row>
    <row r="286" spans="1:7" x14ac:dyDescent="0.3">
      <c r="A286" s="46">
        <v>43041</v>
      </c>
      <c r="B286" t="s">
        <v>5</v>
      </c>
      <c r="C286">
        <v>151</v>
      </c>
      <c r="D286" s="59">
        <v>22.95</v>
      </c>
      <c r="E286" s="59">
        <v>3465.45</v>
      </c>
      <c r="F286">
        <f>VLOOKUP(RevenueTable[[#This Row],[Units Sold]],Discounttable[],2)</f>
        <v>0.5</v>
      </c>
      <c r="G286">
        <f>ROUND((1-RevenueTable[[#This Row],[Discount on Total Revenue]])*RevenueTable[[#This Row],[Total Revenue]],2)</f>
        <v>1732.73</v>
      </c>
    </row>
    <row r="287" spans="1:7" x14ac:dyDescent="0.3">
      <c r="A287" s="46">
        <v>43041</v>
      </c>
      <c r="B287" t="s">
        <v>7</v>
      </c>
      <c r="C287">
        <v>162</v>
      </c>
      <c r="D287" s="59">
        <v>43.95</v>
      </c>
      <c r="E287" s="59">
        <v>7119.9000000000005</v>
      </c>
      <c r="F287">
        <f>VLOOKUP(RevenueTable[[#This Row],[Units Sold]],Discounttable[],2)</f>
        <v>0.5</v>
      </c>
      <c r="G287">
        <f>ROUND((1-RevenueTable[[#This Row],[Discount on Total Revenue]])*RevenueTable[[#This Row],[Total Revenue]],2)</f>
        <v>3559.95</v>
      </c>
    </row>
    <row r="288" spans="1:7" x14ac:dyDescent="0.3">
      <c r="A288" s="46">
        <v>43045</v>
      </c>
      <c r="B288" t="s">
        <v>13</v>
      </c>
      <c r="C288">
        <v>22</v>
      </c>
      <c r="D288" s="59">
        <v>14.95</v>
      </c>
      <c r="E288" s="59">
        <v>328.9</v>
      </c>
      <c r="F288">
        <f>VLOOKUP(RevenueTable[[#This Row],[Units Sold]],Discounttable[],2)</f>
        <v>0.25</v>
      </c>
      <c r="G288">
        <f>ROUND((1-RevenueTable[[#This Row],[Discount on Total Revenue]])*RevenueTable[[#This Row],[Total Revenue]],2)</f>
        <v>246.68</v>
      </c>
    </row>
    <row r="289" spans="1:7" x14ac:dyDescent="0.3">
      <c r="A289" s="46">
        <v>43047</v>
      </c>
      <c r="B289" t="s">
        <v>8</v>
      </c>
      <c r="C289">
        <v>11</v>
      </c>
      <c r="D289" s="59">
        <v>21.95</v>
      </c>
      <c r="E289" s="59">
        <v>241.45</v>
      </c>
      <c r="F289">
        <f>VLOOKUP(RevenueTable[[#This Row],[Units Sold]],Discounttable[],2)</f>
        <v>0</v>
      </c>
      <c r="G289">
        <f>ROUND((1-RevenueTable[[#This Row],[Discount on Total Revenue]])*RevenueTable[[#This Row],[Total Revenue]],2)</f>
        <v>241.45</v>
      </c>
    </row>
    <row r="290" spans="1:7" x14ac:dyDescent="0.3">
      <c r="A290" s="46">
        <v>43047</v>
      </c>
      <c r="B290" t="s">
        <v>13</v>
      </c>
      <c r="C290">
        <v>182</v>
      </c>
      <c r="D290" s="59">
        <v>14.95</v>
      </c>
      <c r="E290" s="59">
        <v>2720.9</v>
      </c>
      <c r="F290">
        <f>VLOOKUP(RevenueTable[[#This Row],[Units Sold]],Discounttable[],2)</f>
        <v>0.55000000000000004</v>
      </c>
      <c r="G290">
        <f>ROUND((1-RevenueTable[[#This Row],[Discount on Total Revenue]])*RevenueTable[[#This Row],[Total Revenue]],2)</f>
        <v>1224.4100000000001</v>
      </c>
    </row>
    <row r="291" spans="1:7" x14ac:dyDescent="0.3">
      <c r="A291" s="46">
        <v>43046</v>
      </c>
      <c r="B291" t="s">
        <v>7</v>
      </c>
      <c r="C291">
        <v>150</v>
      </c>
      <c r="D291" s="59">
        <v>43.95</v>
      </c>
      <c r="E291" s="59">
        <v>6592.5</v>
      </c>
      <c r="F291">
        <f>VLOOKUP(RevenueTable[[#This Row],[Units Sold]],Discounttable[],2)</f>
        <v>0.5</v>
      </c>
      <c r="G291">
        <f>ROUND((1-RevenueTable[[#This Row],[Discount on Total Revenue]])*RevenueTable[[#This Row],[Total Revenue]],2)</f>
        <v>3296.25</v>
      </c>
    </row>
    <row r="292" spans="1:7" x14ac:dyDescent="0.3">
      <c r="A292" s="46">
        <v>43047</v>
      </c>
      <c r="B292" t="s">
        <v>8</v>
      </c>
      <c r="C292">
        <v>122</v>
      </c>
      <c r="D292" s="59">
        <v>21.95</v>
      </c>
      <c r="E292" s="59">
        <v>2677.9</v>
      </c>
      <c r="F292">
        <f>VLOOKUP(RevenueTable[[#This Row],[Units Sold]],Discounttable[],2)</f>
        <v>0.4375</v>
      </c>
      <c r="G292">
        <f>ROUND((1-RevenueTable[[#This Row],[Discount on Total Revenue]])*RevenueTable[[#This Row],[Total Revenue]],2)</f>
        <v>1506.32</v>
      </c>
    </row>
    <row r="293" spans="1:7" x14ac:dyDescent="0.3">
      <c r="A293" s="46">
        <v>43045</v>
      </c>
      <c r="B293" t="s">
        <v>13</v>
      </c>
      <c r="C293">
        <v>167</v>
      </c>
      <c r="D293" s="59">
        <v>14.95</v>
      </c>
      <c r="E293" s="59">
        <v>2496.65</v>
      </c>
      <c r="F293">
        <f>VLOOKUP(RevenueTable[[#This Row],[Units Sold]],Discounttable[],2)</f>
        <v>0.5</v>
      </c>
      <c r="G293">
        <f>ROUND((1-RevenueTable[[#This Row],[Discount on Total Revenue]])*RevenueTable[[#This Row],[Total Revenue]],2)</f>
        <v>1248.33</v>
      </c>
    </row>
    <row r="294" spans="1:7" x14ac:dyDescent="0.3">
      <c r="A294" s="46">
        <v>43046</v>
      </c>
      <c r="B294" t="s">
        <v>7</v>
      </c>
      <c r="C294">
        <v>104</v>
      </c>
      <c r="D294" s="59">
        <v>43.95</v>
      </c>
      <c r="E294" s="59">
        <v>4570.8</v>
      </c>
      <c r="F294">
        <f>VLOOKUP(RevenueTable[[#This Row],[Units Sold]],Discounttable[],2)</f>
        <v>0.4375</v>
      </c>
      <c r="G294">
        <f>ROUND((1-RevenueTable[[#This Row],[Discount on Total Revenue]])*RevenueTable[[#This Row],[Total Revenue]],2)</f>
        <v>2571.08</v>
      </c>
    </row>
    <row r="295" spans="1:7" x14ac:dyDescent="0.3">
      <c r="A295" s="46">
        <v>43043</v>
      </c>
      <c r="B295" t="s">
        <v>13</v>
      </c>
      <c r="C295">
        <v>41</v>
      </c>
      <c r="D295" s="59">
        <v>14.95</v>
      </c>
      <c r="E295" s="59">
        <v>612.94999999999993</v>
      </c>
      <c r="F295">
        <f>VLOOKUP(RevenueTable[[#This Row],[Units Sold]],Discounttable[],2)</f>
        <v>0.25</v>
      </c>
      <c r="G295">
        <f>ROUND((1-RevenueTable[[#This Row],[Discount on Total Revenue]])*RevenueTable[[#This Row],[Total Revenue]],2)</f>
        <v>459.71</v>
      </c>
    </row>
    <row r="296" spans="1:7" x14ac:dyDescent="0.3">
      <c r="A296" s="46">
        <v>43046</v>
      </c>
      <c r="B296" t="s">
        <v>13</v>
      </c>
      <c r="C296">
        <v>32</v>
      </c>
      <c r="D296" s="59">
        <v>14.95</v>
      </c>
      <c r="E296" s="59">
        <v>478.4</v>
      </c>
      <c r="F296">
        <f>VLOOKUP(RevenueTable[[#This Row],[Units Sold]],Discounttable[],2)</f>
        <v>0.25</v>
      </c>
      <c r="G296">
        <f>ROUND((1-RevenueTable[[#This Row],[Discount on Total Revenue]])*RevenueTable[[#This Row],[Total Revenue]],2)</f>
        <v>358.8</v>
      </c>
    </row>
    <row r="297" spans="1:7" x14ac:dyDescent="0.3">
      <c r="A297" s="46">
        <v>43045</v>
      </c>
      <c r="B297" t="s">
        <v>8</v>
      </c>
      <c r="C297">
        <v>104</v>
      </c>
      <c r="D297" s="59">
        <v>21.95</v>
      </c>
      <c r="E297" s="59">
        <v>2282.7999999999997</v>
      </c>
      <c r="F297">
        <f>VLOOKUP(RevenueTable[[#This Row],[Units Sold]],Discounttable[],2)</f>
        <v>0.4375</v>
      </c>
      <c r="G297">
        <f>ROUND((1-RevenueTable[[#This Row],[Discount on Total Revenue]])*RevenueTable[[#This Row],[Total Revenue]],2)</f>
        <v>1284.08</v>
      </c>
    </row>
    <row r="298" spans="1:7" x14ac:dyDescent="0.3">
      <c r="A298" s="46">
        <v>43042</v>
      </c>
      <c r="B298" t="s">
        <v>5</v>
      </c>
      <c r="C298">
        <v>15</v>
      </c>
      <c r="D298" s="59">
        <v>22.95</v>
      </c>
      <c r="E298" s="59">
        <v>344.25</v>
      </c>
      <c r="F298">
        <f>VLOOKUP(RevenueTable[[#This Row],[Units Sold]],Discounttable[],2)</f>
        <v>0.25</v>
      </c>
      <c r="G298">
        <f>ROUND((1-RevenueTable[[#This Row],[Discount on Total Revenue]])*RevenueTable[[#This Row],[Total Revenue]],2)</f>
        <v>258.19</v>
      </c>
    </row>
    <row r="299" spans="1:7" x14ac:dyDescent="0.3">
      <c r="A299" s="46">
        <v>43043</v>
      </c>
      <c r="B299" t="s">
        <v>5</v>
      </c>
      <c r="C299">
        <v>70</v>
      </c>
      <c r="D299" s="59">
        <v>22.95</v>
      </c>
      <c r="E299" s="59">
        <v>1606.5</v>
      </c>
      <c r="F299">
        <f>VLOOKUP(RevenueTable[[#This Row],[Units Sold]],Discounttable[],2)</f>
        <v>0.375</v>
      </c>
      <c r="G299">
        <f>ROUND((1-RevenueTable[[#This Row],[Discount on Total Revenue]])*RevenueTable[[#This Row],[Total Revenue]],2)</f>
        <v>1004.06</v>
      </c>
    </row>
    <row r="300" spans="1:7" x14ac:dyDescent="0.3">
      <c r="A300" s="46">
        <v>43047</v>
      </c>
      <c r="B300" t="s">
        <v>13</v>
      </c>
      <c r="C300">
        <v>173</v>
      </c>
      <c r="D300" s="59">
        <v>14.95</v>
      </c>
      <c r="E300" s="59">
        <v>2586.35</v>
      </c>
      <c r="F300">
        <f>VLOOKUP(RevenueTable[[#This Row],[Units Sold]],Discounttable[],2)</f>
        <v>0.55000000000000004</v>
      </c>
      <c r="G300">
        <f>ROUND((1-RevenueTable[[#This Row],[Discount on Total Revenue]])*RevenueTable[[#This Row],[Total Revenue]],2)</f>
        <v>1163.8599999999999</v>
      </c>
    </row>
    <row r="301" spans="1:7" x14ac:dyDescent="0.3">
      <c r="A301" s="46">
        <v>43042</v>
      </c>
      <c r="B301" t="s">
        <v>13</v>
      </c>
      <c r="C301">
        <v>69</v>
      </c>
      <c r="D301" s="59">
        <v>14.95</v>
      </c>
      <c r="E301" s="59">
        <v>1031.55</v>
      </c>
      <c r="F301">
        <f>VLOOKUP(RevenueTable[[#This Row],[Units Sold]],Discounttable[],2)</f>
        <v>0.375</v>
      </c>
      <c r="G301">
        <f>ROUND((1-RevenueTable[[#This Row],[Discount on Total Revenue]])*RevenueTable[[#This Row],[Total Revenue]],2)</f>
        <v>644.72</v>
      </c>
    </row>
    <row r="302" spans="1:7" x14ac:dyDescent="0.3">
      <c r="A302" s="46">
        <v>43047</v>
      </c>
      <c r="B302" t="s">
        <v>7</v>
      </c>
      <c r="C302">
        <v>29</v>
      </c>
      <c r="D302" s="59">
        <v>43.95</v>
      </c>
      <c r="E302" s="59">
        <v>1274.5500000000002</v>
      </c>
      <c r="F302">
        <f>VLOOKUP(RevenueTable[[#This Row],[Units Sold]],Discounttable[],2)</f>
        <v>0.25</v>
      </c>
      <c r="G302">
        <f>ROUND((1-RevenueTable[[#This Row],[Discount on Total Revenue]])*RevenueTable[[#This Row],[Total Revenue]],2)</f>
        <v>955.91</v>
      </c>
    </row>
    <row r="303" spans="1:7" x14ac:dyDescent="0.3">
      <c r="A303" s="46">
        <v>43042</v>
      </c>
      <c r="B303" t="s">
        <v>8</v>
      </c>
      <c r="C303">
        <v>185</v>
      </c>
      <c r="D303" s="59">
        <v>21.95</v>
      </c>
      <c r="E303" s="59">
        <v>4060.75</v>
      </c>
      <c r="F303">
        <f>VLOOKUP(RevenueTable[[#This Row],[Units Sold]],Discounttable[],2)</f>
        <v>0.55000000000000004</v>
      </c>
      <c r="G303">
        <f>ROUND((1-RevenueTable[[#This Row],[Discount on Total Revenue]])*RevenueTable[[#This Row],[Total Revenue]],2)</f>
        <v>1827.34</v>
      </c>
    </row>
    <row r="304" spans="1:7" x14ac:dyDescent="0.3">
      <c r="A304" s="46">
        <v>43040</v>
      </c>
      <c r="B304" t="s">
        <v>5</v>
      </c>
      <c r="C304">
        <v>123</v>
      </c>
      <c r="D304" s="59">
        <v>22.95</v>
      </c>
      <c r="E304" s="59">
        <v>2822.85</v>
      </c>
      <c r="F304">
        <f>VLOOKUP(RevenueTable[[#This Row],[Units Sold]],Discounttable[],2)</f>
        <v>0.4375</v>
      </c>
      <c r="G304">
        <f>ROUND((1-RevenueTable[[#This Row],[Discount on Total Revenue]])*RevenueTable[[#This Row],[Total Revenue]],2)</f>
        <v>1587.85</v>
      </c>
    </row>
    <row r="305" spans="1:7" x14ac:dyDescent="0.3">
      <c r="A305" s="46">
        <v>43043</v>
      </c>
      <c r="B305" t="s">
        <v>7</v>
      </c>
      <c r="C305">
        <v>156</v>
      </c>
      <c r="D305" s="59">
        <v>43.95</v>
      </c>
      <c r="E305" s="59">
        <v>6856.2000000000007</v>
      </c>
      <c r="F305">
        <f>VLOOKUP(RevenueTable[[#This Row],[Units Sold]],Discounttable[],2)</f>
        <v>0.5</v>
      </c>
      <c r="G305">
        <f>ROUND((1-RevenueTable[[#This Row],[Discount on Total Revenue]])*RevenueTable[[#This Row],[Total Revenue]],2)</f>
        <v>3428.1</v>
      </c>
    </row>
    <row r="306" spans="1:7" x14ac:dyDescent="0.3">
      <c r="A306" s="46">
        <v>43044</v>
      </c>
      <c r="B306" t="s">
        <v>8</v>
      </c>
      <c r="C306">
        <v>39</v>
      </c>
      <c r="D306" s="59">
        <v>21.95</v>
      </c>
      <c r="E306" s="59">
        <v>856.05</v>
      </c>
      <c r="F306">
        <f>VLOOKUP(RevenueTable[[#This Row],[Units Sold]],Discounttable[],2)</f>
        <v>0.25</v>
      </c>
      <c r="G306">
        <f>ROUND((1-RevenueTable[[#This Row],[Discount on Total Revenue]])*RevenueTable[[#This Row],[Total Revenue]],2)</f>
        <v>642.04</v>
      </c>
    </row>
    <row r="307" spans="1:7" x14ac:dyDescent="0.3">
      <c r="A307" s="46">
        <v>43045</v>
      </c>
      <c r="B307" t="s">
        <v>7</v>
      </c>
      <c r="C307">
        <v>18</v>
      </c>
      <c r="D307" s="59">
        <v>43.95</v>
      </c>
      <c r="E307" s="59">
        <v>791.1</v>
      </c>
      <c r="F307">
        <f>VLOOKUP(RevenueTable[[#This Row],[Units Sold]],Discounttable[],2)</f>
        <v>0.25</v>
      </c>
      <c r="G307">
        <f>ROUND((1-RevenueTable[[#This Row],[Discount on Total Revenue]])*RevenueTable[[#This Row],[Total Revenue]],2)</f>
        <v>593.33000000000004</v>
      </c>
    </row>
    <row r="308" spans="1:7" x14ac:dyDescent="0.3">
      <c r="A308" s="46">
        <v>43040</v>
      </c>
      <c r="B308" t="s">
        <v>8</v>
      </c>
      <c r="C308">
        <v>64</v>
      </c>
      <c r="D308" s="59">
        <v>21.95</v>
      </c>
      <c r="E308" s="59">
        <v>1404.8</v>
      </c>
      <c r="F308">
        <f>VLOOKUP(RevenueTable[[#This Row],[Units Sold]],Discounttable[],2)</f>
        <v>0.375</v>
      </c>
      <c r="G308">
        <f>ROUND((1-RevenueTable[[#This Row],[Discount on Total Revenue]])*RevenueTable[[#This Row],[Total Revenue]],2)</f>
        <v>878</v>
      </c>
    </row>
    <row r="309" spans="1:7" x14ac:dyDescent="0.3">
      <c r="A309" s="46">
        <v>43044</v>
      </c>
      <c r="B309" t="s">
        <v>7</v>
      </c>
      <c r="C309">
        <v>34</v>
      </c>
      <c r="D309" s="59">
        <v>43.95</v>
      </c>
      <c r="E309" s="59">
        <v>1494.3000000000002</v>
      </c>
      <c r="F309">
        <f>VLOOKUP(RevenueTable[[#This Row],[Units Sold]],Discounttable[],2)</f>
        <v>0.25</v>
      </c>
      <c r="G309">
        <f>ROUND((1-RevenueTable[[#This Row],[Discount on Total Revenue]])*RevenueTable[[#This Row],[Total Revenue]],2)</f>
        <v>1120.73</v>
      </c>
    </row>
    <row r="310" spans="1:7" x14ac:dyDescent="0.3">
      <c r="A310" s="46">
        <v>43046</v>
      </c>
      <c r="B310" t="s">
        <v>13</v>
      </c>
      <c r="C310">
        <v>186</v>
      </c>
      <c r="D310" s="59">
        <v>14.95</v>
      </c>
      <c r="E310" s="59">
        <v>2780.7</v>
      </c>
      <c r="F310">
        <f>VLOOKUP(RevenueTable[[#This Row],[Units Sold]],Discounttable[],2)</f>
        <v>0.55000000000000004</v>
      </c>
      <c r="G310">
        <f>ROUND((1-RevenueTable[[#This Row],[Discount on Total Revenue]])*RevenueTable[[#This Row],[Total Revenue]],2)</f>
        <v>1251.32</v>
      </c>
    </row>
    <row r="311" spans="1:7" x14ac:dyDescent="0.3">
      <c r="A311" s="46">
        <v>43044</v>
      </c>
      <c r="B311" t="s">
        <v>7</v>
      </c>
      <c r="C311">
        <v>130</v>
      </c>
      <c r="D311" s="59">
        <v>43.95</v>
      </c>
      <c r="E311" s="59">
        <v>5713.5</v>
      </c>
      <c r="F311">
        <f>VLOOKUP(RevenueTable[[#This Row],[Units Sold]],Discounttable[],2)</f>
        <v>0.4375</v>
      </c>
      <c r="G311">
        <f>ROUND((1-RevenueTable[[#This Row],[Discount on Total Revenue]])*RevenueTable[[#This Row],[Total Revenue]],2)</f>
        <v>3213.84</v>
      </c>
    </row>
    <row r="312" spans="1:7" x14ac:dyDescent="0.3">
      <c r="A312" s="46">
        <v>43043</v>
      </c>
      <c r="B312" t="s">
        <v>8</v>
      </c>
      <c r="C312">
        <v>115</v>
      </c>
      <c r="D312" s="59">
        <v>21.95</v>
      </c>
      <c r="E312" s="59">
        <v>2524.25</v>
      </c>
      <c r="F312">
        <f>VLOOKUP(RevenueTable[[#This Row],[Units Sold]],Discounttable[],2)</f>
        <v>0.4375</v>
      </c>
      <c r="G312">
        <f>ROUND((1-RevenueTable[[#This Row],[Discount on Total Revenue]])*RevenueTable[[#This Row],[Total Revenue]],2)</f>
        <v>1419.89</v>
      </c>
    </row>
    <row r="313" spans="1:7" x14ac:dyDescent="0.3">
      <c r="A313" s="46">
        <v>43040</v>
      </c>
      <c r="B313" t="s">
        <v>13</v>
      </c>
      <c r="C313">
        <v>101</v>
      </c>
      <c r="D313" s="59">
        <v>14.95</v>
      </c>
      <c r="E313" s="59">
        <v>1509.9499999999998</v>
      </c>
      <c r="F313">
        <f>VLOOKUP(RevenueTable[[#This Row],[Units Sold]],Discounttable[],2)</f>
        <v>0.4375</v>
      </c>
      <c r="G313">
        <f>ROUND((1-RevenueTable[[#This Row],[Discount on Total Revenue]])*RevenueTable[[#This Row],[Total Revenue]],2)</f>
        <v>849.35</v>
      </c>
    </row>
    <row r="314" spans="1:7" x14ac:dyDescent="0.3">
      <c r="A314" s="46">
        <v>43045</v>
      </c>
      <c r="B314" t="s">
        <v>5</v>
      </c>
      <c r="C314">
        <v>80</v>
      </c>
      <c r="D314" s="59">
        <v>22.95</v>
      </c>
      <c r="E314" s="59">
        <v>1836</v>
      </c>
      <c r="F314">
        <f>VLOOKUP(RevenueTable[[#This Row],[Units Sold]],Discounttable[],2)</f>
        <v>0.375</v>
      </c>
      <c r="G314">
        <f>ROUND((1-RevenueTable[[#This Row],[Discount on Total Revenue]])*RevenueTable[[#This Row],[Total Revenue]],2)</f>
        <v>1147.5</v>
      </c>
    </row>
    <row r="315" spans="1:7" x14ac:dyDescent="0.3">
      <c r="A315" s="46">
        <v>43040</v>
      </c>
      <c r="B315" t="s">
        <v>13</v>
      </c>
      <c r="C315">
        <v>9</v>
      </c>
      <c r="D315" s="59">
        <v>14.95</v>
      </c>
      <c r="E315" s="59">
        <v>134.54999999999998</v>
      </c>
      <c r="F315">
        <f>VLOOKUP(RevenueTable[[#This Row],[Units Sold]],Discounttable[],2)</f>
        <v>0</v>
      </c>
      <c r="G315">
        <f>ROUND((1-RevenueTable[[#This Row],[Discount on Total Revenue]])*RevenueTable[[#This Row],[Total Revenue]],2)</f>
        <v>134.55000000000001</v>
      </c>
    </row>
    <row r="316" spans="1:7" x14ac:dyDescent="0.3">
      <c r="A316" s="46">
        <v>43040</v>
      </c>
      <c r="B316" t="s">
        <v>13</v>
      </c>
      <c r="C316">
        <v>50</v>
      </c>
      <c r="D316" s="59">
        <v>14.95</v>
      </c>
      <c r="E316" s="59">
        <v>747.5</v>
      </c>
      <c r="F316">
        <f>VLOOKUP(RevenueTable[[#This Row],[Units Sold]],Discounttable[],2)</f>
        <v>0.375</v>
      </c>
      <c r="G316">
        <f>ROUND((1-RevenueTable[[#This Row],[Discount on Total Revenue]])*RevenueTable[[#This Row],[Total Revenue]],2)</f>
        <v>467.19</v>
      </c>
    </row>
    <row r="317" spans="1:7" x14ac:dyDescent="0.3">
      <c r="A317" s="46">
        <v>43046</v>
      </c>
      <c r="B317" t="s">
        <v>5</v>
      </c>
      <c r="C317">
        <v>94</v>
      </c>
      <c r="D317" s="59">
        <v>22.95</v>
      </c>
      <c r="E317" s="59">
        <v>2157.2999999999997</v>
      </c>
      <c r="F317">
        <f>VLOOKUP(RevenueTable[[#This Row],[Units Sold]],Discounttable[],2)</f>
        <v>0.375</v>
      </c>
      <c r="G317">
        <f>ROUND((1-RevenueTable[[#This Row],[Discount on Total Revenue]])*RevenueTable[[#This Row],[Total Revenue]],2)</f>
        <v>1348.31</v>
      </c>
    </row>
    <row r="318" spans="1:7" x14ac:dyDescent="0.3">
      <c r="A318" s="46">
        <v>43043</v>
      </c>
      <c r="B318" t="s">
        <v>7</v>
      </c>
      <c r="C318">
        <v>103</v>
      </c>
      <c r="D318" s="59">
        <v>43.95</v>
      </c>
      <c r="E318" s="59">
        <v>4526.8500000000004</v>
      </c>
      <c r="F318">
        <f>VLOOKUP(RevenueTable[[#This Row],[Units Sold]],Discounttable[],2)</f>
        <v>0.4375</v>
      </c>
      <c r="G318">
        <f>ROUND((1-RevenueTable[[#This Row],[Discount on Total Revenue]])*RevenueTable[[#This Row],[Total Revenue]],2)</f>
        <v>2546.35</v>
      </c>
    </row>
    <row r="319" spans="1:7" x14ac:dyDescent="0.3">
      <c r="A319" s="46">
        <v>43041</v>
      </c>
      <c r="B319" t="s">
        <v>7</v>
      </c>
      <c r="C319">
        <v>82</v>
      </c>
      <c r="D319" s="59">
        <v>43.95</v>
      </c>
      <c r="E319" s="59">
        <v>3603.9</v>
      </c>
      <c r="F319">
        <f>VLOOKUP(RevenueTable[[#This Row],[Units Sold]],Discounttable[],2)</f>
        <v>0.375</v>
      </c>
      <c r="G319">
        <f>ROUND((1-RevenueTable[[#This Row],[Discount on Total Revenue]])*RevenueTable[[#This Row],[Total Revenue]],2)</f>
        <v>2252.44</v>
      </c>
    </row>
    <row r="320" spans="1:7" x14ac:dyDescent="0.3">
      <c r="A320" s="46">
        <v>43041</v>
      </c>
      <c r="B320" t="s">
        <v>7</v>
      </c>
      <c r="C320">
        <v>116</v>
      </c>
      <c r="D320" s="59">
        <v>43.95</v>
      </c>
      <c r="E320" s="59">
        <v>5098.2000000000007</v>
      </c>
      <c r="F320">
        <f>VLOOKUP(RevenueTable[[#This Row],[Units Sold]],Discounttable[],2)</f>
        <v>0.4375</v>
      </c>
      <c r="G320">
        <f>ROUND((1-RevenueTable[[#This Row],[Discount on Total Revenue]])*RevenueTable[[#This Row],[Total Revenue]],2)</f>
        <v>2867.74</v>
      </c>
    </row>
    <row r="321" spans="1:7" x14ac:dyDescent="0.3">
      <c r="A321" s="46">
        <v>43040</v>
      </c>
      <c r="B321" t="s">
        <v>13</v>
      </c>
      <c r="C321">
        <v>161</v>
      </c>
      <c r="D321" s="59">
        <v>14.95</v>
      </c>
      <c r="E321" s="59">
        <v>2406.9499999999998</v>
      </c>
      <c r="F321">
        <f>VLOOKUP(RevenueTable[[#This Row],[Units Sold]],Discounttable[],2)</f>
        <v>0.5</v>
      </c>
      <c r="G321">
        <f>ROUND((1-RevenueTable[[#This Row],[Discount on Total Revenue]])*RevenueTable[[#This Row],[Total Revenue]],2)</f>
        <v>1203.48</v>
      </c>
    </row>
    <row r="322" spans="1:7" x14ac:dyDescent="0.3">
      <c r="A322" s="46">
        <v>43046</v>
      </c>
      <c r="B322" t="s">
        <v>5</v>
      </c>
      <c r="C322">
        <v>136</v>
      </c>
      <c r="D322" s="59">
        <v>22.95</v>
      </c>
      <c r="E322" s="59">
        <v>3121.2</v>
      </c>
      <c r="F322">
        <f>VLOOKUP(RevenueTable[[#This Row],[Units Sold]],Discounttable[],2)</f>
        <v>0.4375</v>
      </c>
      <c r="G322">
        <f>ROUND((1-RevenueTable[[#This Row],[Discount on Total Revenue]])*RevenueTable[[#This Row],[Total Revenue]],2)</f>
        <v>1755.68</v>
      </c>
    </row>
    <row r="323" spans="1:7" x14ac:dyDescent="0.3">
      <c r="A323" s="46">
        <v>43043</v>
      </c>
      <c r="B323" t="s">
        <v>13</v>
      </c>
      <c r="C323">
        <v>50</v>
      </c>
      <c r="D323" s="59">
        <v>14.95</v>
      </c>
      <c r="E323" s="59">
        <v>747.5</v>
      </c>
      <c r="F323">
        <f>VLOOKUP(RevenueTable[[#This Row],[Units Sold]],Discounttable[],2)</f>
        <v>0.375</v>
      </c>
      <c r="G323">
        <f>ROUND((1-RevenueTable[[#This Row],[Discount on Total Revenue]])*RevenueTable[[#This Row],[Total Revenue]],2)</f>
        <v>467.19</v>
      </c>
    </row>
    <row r="324" spans="1:7" x14ac:dyDescent="0.3">
      <c r="A324" s="46">
        <v>43043</v>
      </c>
      <c r="B324" t="s">
        <v>7</v>
      </c>
      <c r="C324">
        <v>149</v>
      </c>
      <c r="D324" s="59">
        <v>43.95</v>
      </c>
      <c r="E324" s="59">
        <v>6548.55</v>
      </c>
      <c r="F324">
        <f>VLOOKUP(RevenueTable[[#This Row],[Units Sold]],Discounttable[],2)</f>
        <v>0.5</v>
      </c>
      <c r="G324">
        <f>ROUND((1-RevenueTable[[#This Row],[Discount on Total Revenue]])*RevenueTable[[#This Row],[Total Revenue]],2)</f>
        <v>3274.28</v>
      </c>
    </row>
    <row r="325" spans="1:7" x14ac:dyDescent="0.3">
      <c r="A325" s="46">
        <v>43045</v>
      </c>
      <c r="B325" t="s">
        <v>8</v>
      </c>
      <c r="C325">
        <v>35</v>
      </c>
      <c r="D325" s="59">
        <v>21.95</v>
      </c>
      <c r="E325" s="59">
        <v>768.25</v>
      </c>
      <c r="F325">
        <f>VLOOKUP(RevenueTable[[#This Row],[Units Sold]],Discounttable[],2)</f>
        <v>0.25</v>
      </c>
      <c r="G325">
        <f>ROUND((1-RevenueTable[[#This Row],[Discount on Total Revenue]])*RevenueTable[[#This Row],[Total Revenue]],2)</f>
        <v>576.19000000000005</v>
      </c>
    </row>
    <row r="326" spans="1:7" x14ac:dyDescent="0.3">
      <c r="A326" s="46">
        <v>43047</v>
      </c>
      <c r="B326" t="s">
        <v>7</v>
      </c>
      <c r="C326">
        <v>8</v>
      </c>
      <c r="D326" s="59">
        <v>43.95</v>
      </c>
      <c r="E326" s="59">
        <v>351.6</v>
      </c>
      <c r="F326">
        <f>VLOOKUP(RevenueTable[[#This Row],[Units Sold]],Discounttable[],2)</f>
        <v>0</v>
      </c>
      <c r="G326">
        <f>ROUND((1-RevenueTable[[#This Row],[Discount on Total Revenue]])*RevenueTable[[#This Row],[Total Revenue]],2)</f>
        <v>351.6</v>
      </c>
    </row>
    <row r="327" spans="1:7" x14ac:dyDescent="0.3">
      <c r="A327" s="46">
        <v>43042</v>
      </c>
      <c r="B327" t="s">
        <v>5</v>
      </c>
      <c r="C327">
        <v>54</v>
      </c>
      <c r="D327" s="59">
        <v>22.95</v>
      </c>
      <c r="E327" s="59">
        <v>1239.3</v>
      </c>
      <c r="F327">
        <f>VLOOKUP(RevenueTable[[#This Row],[Units Sold]],Discounttable[],2)</f>
        <v>0.375</v>
      </c>
      <c r="G327">
        <f>ROUND((1-RevenueTable[[#This Row],[Discount on Total Revenue]])*RevenueTable[[#This Row],[Total Revenue]],2)</f>
        <v>774.56</v>
      </c>
    </row>
    <row r="328" spans="1:7" x14ac:dyDescent="0.3">
      <c r="A328" s="46">
        <v>43040</v>
      </c>
      <c r="B328" t="s">
        <v>5</v>
      </c>
      <c r="C328">
        <v>88</v>
      </c>
      <c r="D328" s="59">
        <v>22.95</v>
      </c>
      <c r="E328" s="59">
        <v>2019.6</v>
      </c>
      <c r="F328">
        <f>VLOOKUP(RevenueTable[[#This Row],[Units Sold]],Discounttable[],2)</f>
        <v>0.375</v>
      </c>
      <c r="G328">
        <f>ROUND((1-RevenueTable[[#This Row],[Discount on Total Revenue]])*RevenueTable[[#This Row],[Total Revenue]],2)</f>
        <v>1262.25</v>
      </c>
    </row>
    <row r="329" spans="1:7" x14ac:dyDescent="0.3">
      <c r="A329" s="46">
        <v>43044</v>
      </c>
      <c r="B329" t="s">
        <v>5</v>
      </c>
      <c r="C329">
        <v>176</v>
      </c>
      <c r="D329" s="59">
        <v>22.95</v>
      </c>
      <c r="E329" s="59">
        <v>4039.2</v>
      </c>
      <c r="F329">
        <f>VLOOKUP(RevenueTable[[#This Row],[Units Sold]],Discounttable[],2)</f>
        <v>0.55000000000000004</v>
      </c>
      <c r="G329">
        <f>ROUND((1-RevenueTable[[#This Row],[Discount on Total Revenue]])*RevenueTable[[#This Row],[Total Revenue]],2)</f>
        <v>1817.64</v>
      </c>
    </row>
    <row r="330" spans="1:7" x14ac:dyDescent="0.3">
      <c r="A330" s="46">
        <v>43040</v>
      </c>
      <c r="B330" t="s">
        <v>5</v>
      </c>
      <c r="C330">
        <v>79</v>
      </c>
      <c r="D330" s="59">
        <v>22.95</v>
      </c>
      <c r="E330" s="59">
        <v>1813.05</v>
      </c>
      <c r="F330">
        <f>VLOOKUP(RevenueTable[[#This Row],[Units Sold]],Discounttable[],2)</f>
        <v>0.375</v>
      </c>
      <c r="G330">
        <f>ROUND((1-RevenueTable[[#This Row],[Discount on Total Revenue]])*RevenueTable[[#This Row],[Total Revenue]],2)</f>
        <v>1133.1600000000001</v>
      </c>
    </row>
    <row r="331" spans="1:7" x14ac:dyDescent="0.3">
      <c r="A331" s="46">
        <v>43045</v>
      </c>
      <c r="B331" t="s">
        <v>13</v>
      </c>
      <c r="C331">
        <v>163</v>
      </c>
      <c r="D331" s="59">
        <v>14.95</v>
      </c>
      <c r="E331" s="59">
        <v>2436.85</v>
      </c>
      <c r="F331">
        <f>VLOOKUP(RevenueTable[[#This Row],[Units Sold]],Discounttable[],2)</f>
        <v>0.5</v>
      </c>
      <c r="G331">
        <f>ROUND((1-RevenueTable[[#This Row],[Discount on Total Revenue]])*RevenueTable[[#This Row],[Total Revenue]],2)</f>
        <v>1218.43</v>
      </c>
    </row>
    <row r="332" spans="1:7" x14ac:dyDescent="0.3">
      <c r="A332" s="46">
        <v>43041</v>
      </c>
      <c r="B332" t="s">
        <v>8</v>
      </c>
      <c r="C332">
        <v>8</v>
      </c>
      <c r="D332" s="59">
        <v>21.95</v>
      </c>
      <c r="E332" s="59">
        <v>175.6</v>
      </c>
      <c r="F332">
        <f>VLOOKUP(RevenueTable[[#This Row],[Units Sold]],Discounttable[],2)</f>
        <v>0</v>
      </c>
      <c r="G332">
        <f>ROUND((1-RevenueTable[[#This Row],[Discount on Total Revenue]])*RevenueTable[[#This Row],[Total Revenue]],2)</f>
        <v>175.6</v>
      </c>
    </row>
    <row r="333" spans="1:7" x14ac:dyDescent="0.3">
      <c r="A333" s="46">
        <v>43045</v>
      </c>
      <c r="B333" t="s">
        <v>7</v>
      </c>
      <c r="C333">
        <v>188</v>
      </c>
      <c r="D333" s="59">
        <v>43.95</v>
      </c>
      <c r="E333" s="59">
        <v>8262.6</v>
      </c>
      <c r="F333">
        <f>VLOOKUP(RevenueTable[[#This Row],[Units Sold]],Discounttable[],2)</f>
        <v>0.55000000000000004</v>
      </c>
      <c r="G333">
        <f>ROUND((1-RevenueTable[[#This Row],[Discount on Total Revenue]])*RevenueTable[[#This Row],[Total Revenue]],2)</f>
        <v>3718.17</v>
      </c>
    </row>
    <row r="334" spans="1:7" x14ac:dyDescent="0.3">
      <c r="A334" s="46">
        <v>43040</v>
      </c>
      <c r="B334" t="s">
        <v>5</v>
      </c>
      <c r="C334">
        <v>35</v>
      </c>
      <c r="D334" s="59">
        <v>22.95</v>
      </c>
      <c r="E334" s="59">
        <v>803.25</v>
      </c>
      <c r="F334">
        <f>VLOOKUP(RevenueTable[[#This Row],[Units Sold]],Discounttable[],2)</f>
        <v>0.25</v>
      </c>
      <c r="G334">
        <f>ROUND((1-RevenueTable[[#This Row],[Discount on Total Revenue]])*RevenueTable[[#This Row],[Total Revenue]],2)</f>
        <v>602.44000000000005</v>
      </c>
    </row>
    <row r="335" spans="1:7" x14ac:dyDescent="0.3">
      <c r="A335" s="46">
        <v>43047</v>
      </c>
      <c r="B335" t="s">
        <v>8</v>
      </c>
      <c r="C335">
        <v>10</v>
      </c>
      <c r="D335" s="59">
        <v>21.95</v>
      </c>
      <c r="E335" s="59">
        <v>219.5</v>
      </c>
      <c r="F335">
        <f>VLOOKUP(RevenueTable[[#This Row],[Units Sold]],Discounttable[],2)</f>
        <v>0</v>
      </c>
      <c r="G335">
        <f>ROUND((1-RevenueTable[[#This Row],[Discount on Total Revenue]])*RevenueTable[[#This Row],[Total Revenue]],2)</f>
        <v>219.5</v>
      </c>
    </row>
    <row r="336" spans="1:7" x14ac:dyDescent="0.3">
      <c r="A336" s="46">
        <v>43045</v>
      </c>
      <c r="B336" t="s">
        <v>5</v>
      </c>
      <c r="C336">
        <v>36</v>
      </c>
      <c r="D336" s="59">
        <v>22.95</v>
      </c>
      <c r="E336" s="59">
        <v>826.19999999999993</v>
      </c>
      <c r="F336">
        <f>VLOOKUP(RevenueTable[[#This Row],[Units Sold]],Discounttable[],2)</f>
        <v>0.25</v>
      </c>
      <c r="G336">
        <f>ROUND((1-RevenueTable[[#This Row],[Discount on Total Revenue]])*RevenueTable[[#This Row],[Total Revenue]],2)</f>
        <v>619.65</v>
      </c>
    </row>
    <row r="337" spans="1:7" x14ac:dyDescent="0.3">
      <c r="A337" s="46">
        <v>43043</v>
      </c>
      <c r="B337" t="s">
        <v>7</v>
      </c>
      <c r="C337">
        <v>172</v>
      </c>
      <c r="D337" s="59">
        <v>43.95</v>
      </c>
      <c r="E337" s="59">
        <v>7559.4000000000005</v>
      </c>
      <c r="F337">
        <f>VLOOKUP(RevenueTable[[#This Row],[Units Sold]],Discounttable[],2)</f>
        <v>0.55000000000000004</v>
      </c>
      <c r="G337">
        <f>ROUND((1-RevenueTable[[#This Row],[Discount on Total Revenue]])*RevenueTable[[#This Row],[Total Revenue]],2)</f>
        <v>3401.73</v>
      </c>
    </row>
    <row r="338" spans="1:7" x14ac:dyDescent="0.3">
      <c r="A338" s="46">
        <v>43044</v>
      </c>
      <c r="B338" t="s">
        <v>13</v>
      </c>
      <c r="C338">
        <v>142</v>
      </c>
      <c r="D338" s="59">
        <v>14.95</v>
      </c>
      <c r="E338" s="59">
        <v>2122.9</v>
      </c>
      <c r="F338">
        <f>VLOOKUP(RevenueTable[[#This Row],[Units Sold]],Discounttable[],2)</f>
        <v>0.4375</v>
      </c>
      <c r="G338">
        <f>ROUND((1-RevenueTable[[#This Row],[Discount on Total Revenue]])*RevenueTable[[#This Row],[Total Revenue]],2)</f>
        <v>1194.1300000000001</v>
      </c>
    </row>
    <row r="339" spans="1:7" x14ac:dyDescent="0.3">
      <c r="A339" s="46">
        <v>43044</v>
      </c>
      <c r="B339" t="s">
        <v>8</v>
      </c>
      <c r="C339">
        <v>79</v>
      </c>
      <c r="D339" s="59">
        <v>21.95</v>
      </c>
      <c r="E339" s="59">
        <v>1734.05</v>
      </c>
      <c r="F339">
        <f>VLOOKUP(RevenueTable[[#This Row],[Units Sold]],Discounttable[],2)</f>
        <v>0.375</v>
      </c>
      <c r="G339">
        <f>ROUND((1-RevenueTable[[#This Row],[Discount on Total Revenue]])*RevenueTable[[#This Row],[Total Revenue]],2)</f>
        <v>1083.78</v>
      </c>
    </row>
    <row r="340" spans="1:7" x14ac:dyDescent="0.3">
      <c r="A340" s="46">
        <v>43040</v>
      </c>
      <c r="B340" t="s">
        <v>7</v>
      </c>
      <c r="C340">
        <v>3</v>
      </c>
      <c r="D340" s="59">
        <v>43.95</v>
      </c>
      <c r="E340" s="59">
        <v>131.85000000000002</v>
      </c>
      <c r="F340">
        <f>VLOOKUP(RevenueTable[[#This Row],[Units Sold]],Discounttable[],2)</f>
        <v>0</v>
      </c>
      <c r="G340">
        <f>ROUND((1-RevenueTable[[#This Row],[Discount on Total Revenue]])*RevenueTable[[#This Row],[Total Revenue]],2)</f>
        <v>131.85</v>
      </c>
    </row>
    <row r="341" spans="1:7" x14ac:dyDescent="0.3">
      <c r="A341" s="46">
        <v>43045</v>
      </c>
      <c r="B341" t="s">
        <v>5</v>
      </c>
      <c r="C341">
        <v>106</v>
      </c>
      <c r="D341" s="59">
        <v>22.95</v>
      </c>
      <c r="E341" s="59">
        <v>2432.6999999999998</v>
      </c>
      <c r="F341">
        <f>VLOOKUP(RevenueTable[[#This Row],[Units Sold]],Discounttable[],2)</f>
        <v>0.4375</v>
      </c>
      <c r="G341">
        <f>ROUND((1-RevenueTable[[#This Row],[Discount on Total Revenue]])*RevenueTable[[#This Row],[Total Revenue]],2)</f>
        <v>1368.39</v>
      </c>
    </row>
    <row r="342" spans="1:7" x14ac:dyDescent="0.3">
      <c r="A342" s="46">
        <v>43041</v>
      </c>
      <c r="B342" t="s">
        <v>8</v>
      </c>
      <c r="C342">
        <v>16</v>
      </c>
      <c r="D342" s="59">
        <v>21.95</v>
      </c>
      <c r="E342" s="59">
        <v>351.2</v>
      </c>
      <c r="F342">
        <f>VLOOKUP(RevenueTable[[#This Row],[Units Sold]],Discounttable[],2)</f>
        <v>0.25</v>
      </c>
      <c r="G342">
        <f>ROUND((1-RevenueTable[[#This Row],[Discount on Total Revenue]])*RevenueTable[[#This Row],[Total Revenue]],2)</f>
        <v>263.39999999999998</v>
      </c>
    </row>
    <row r="343" spans="1:7" x14ac:dyDescent="0.3">
      <c r="A343" s="46">
        <v>43042</v>
      </c>
      <c r="B343" t="s">
        <v>8</v>
      </c>
      <c r="C343">
        <v>123</v>
      </c>
      <c r="D343" s="59">
        <v>21.95</v>
      </c>
      <c r="E343" s="59">
        <v>2699.85</v>
      </c>
      <c r="F343">
        <f>VLOOKUP(RevenueTable[[#This Row],[Units Sold]],Discounttable[],2)</f>
        <v>0.4375</v>
      </c>
      <c r="G343">
        <f>ROUND((1-RevenueTable[[#This Row],[Discount on Total Revenue]])*RevenueTable[[#This Row],[Total Revenue]],2)</f>
        <v>1518.67</v>
      </c>
    </row>
    <row r="344" spans="1:7" x14ac:dyDescent="0.3">
      <c r="A344" s="46">
        <v>43045</v>
      </c>
      <c r="B344" t="s">
        <v>8</v>
      </c>
      <c r="C344">
        <v>80</v>
      </c>
      <c r="D344" s="59">
        <v>21.95</v>
      </c>
      <c r="E344" s="59">
        <v>1756</v>
      </c>
      <c r="F344">
        <f>VLOOKUP(RevenueTable[[#This Row],[Units Sold]],Discounttable[],2)</f>
        <v>0.375</v>
      </c>
      <c r="G344">
        <f>ROUND((1-RevenueTable[[#This Row],[Discount on Total Revenue]])*RevenueTable[[#This Row],[Total Revenue]],2)</f>
        <v>1097.5</v>
      </c>
    </row>
    <row r="345" spans="1:7" x14ac:dyDescent="0.3">
      <c r="A345" s="46">
        <v>43044</v>
      </c>
      <c r="B345" t="s">
        <v>7</v>
      </c>
      <c r="C345">
        <v>155</v>
      </c>
      <c r="D345" s="59">
        <v>43.95</v>
      </c>
      <c r="E345" s="59">
        <v>6812.25</v>
      </c>
      <c r="F345">
        <f>VLOOKUP(RevenueTable[[#This Row],[Units Sold]],Discounttable[],2)</f>
        <v>0.5</v>
      </c>
      <c r="G345">
        <f>ROUND((1-RevenueTable[[#This Row],[Discount on Total Revenue]])*RevenueTable[[#This Row],[Total Revenue]],2)</f>
        <v>3406.13</v>
      </c>
    </row>
    <row r="346" spans="1:7" x14ac:dyDescent="0.3">
      <c r="A346" s="46">
        <v>43047</v>
      </c>
      <c r="B346" t="s">
        <v>7</v>
      </c>
      <c r="C346">
        <v>130</v>
      </c>
      <c r="D346" s="59">
        <v>43.95</v>
      </c>
      <c r="E346" s="59">
        <v>5713.5</v>
      </c>
      <c r="F346">
        <f>VLOOKUP(RevenueTable[[#This Row],[Units Sold]],Discounttable[],2)</f>
        <v>0.4375</v>
      </c>
      <c r="G346">
        <f>ROUND((1-RevenueTable[[#This Row],[Discount on Total Revenue]])*RevenueTable[[#This Row],[Total Revenue]],2)</f>
        <v>3213.84</v>
      </c>
    </row>
    <row r="347" spans="1:7" x14ac:dyDescent="0.3">
      <c r="A347" s="46">
        <v>43042</v>
      </c>
      <c r="B347" t="s">
        <v>8</v>
      </c>
      <c r="C347">
        <v>87</v>
      </c>
      <c r="D347" s="59">
        <v>21.95</v>
      </c>
      <c r="E347" s="59">
        <v>1909.6499999999999</v>
      </c>
      <c r="F347">
        <f>VLOOKUP(RevenueTable[[#This Row],[Units Sold]],Discounttable[],2)</f>
        <v>0.375</v>
      </c>
      <c r="G347">
        <f>ROUND((1-RevenueTable[[#This Row],[Discount on Total Revenue]])*RevenueTable[[#This Row],[Total Revenue]],2)</f>
        <v>1193.53</v>
      </c>
    </row>
    <row r="348" spans="1:7" x14ac:dyDescent="0.3">
      <c r="A348" s="46">
        <v>43042</v>
      </c>
      <c r="B348" t="s">
        <v>13</v>
      </c>
      <c r="C348">
        <v>104</v>
      </c>
      <c r="D348" s="59">
        <v>14.95</v>
      </c>
      <c r="E348" s="59">
        <v>1554.8</v>
      </c>
      <c r="F348">
        <f>VLOOKUP(RevenueTable[[#This Row],[Units Sold]],Discounttable[],2)</f>
        <v>0.4375</v>
      </c>
      <c r="G348">
        <f>ROUND((1-RevenueTable[[#This Row],[Discount on Total Revenue]])*RevenueTable[[#This Row],[Total Revenue]],2)</f>
        <v>874.58</v>
      </c>
    </row>
    <row r="349" spans="1:7" x14ac:dyDescent="0.3">
      <c r="A349" s="46">
        <v>43045</v>
      </c>
      <c r="B349" t="s">
        <v>8</v>
      </c>
      <c r="C349">
        <v>83</v>
      </c>
      <c r="D349" s="59">
        <v>21.95</v>
      </c>
      <c r="E349" s="59">
        <v>1821.85</v>
      </c>
      <c r="F349">
        <f>VLOOKUP(RevenueTable[[#This Row],[Units Sold]],Discounttable[],2)</f>
        <v>0.375</v>
      </c>
      <c r="G349">
        <f>ROUND((1-RevenueTable[[#This Row],[Discount on Total Revenue]])*RevenueTable[[#This Row],[Total Revenue]],2)</f>
        <v>1138.6600000000001</v>
      </c>
    </row>
    <row r="350" spans="1:7" x14ac:dyDescent="0.3">
      <c r="A350" s="46">
        <v>43047</v>
      </c>
      <c r="B350" t="s">
        <v>5</v>
      </c>
      <c r="C350">
        <v>139</v>
      </c>
      <c r="D350" s="59">
        <v>22.95</v>
      </c>
      <c r="E350" s="59">
        <v>3190.0499999999997</v>
      </c>
      <c r="F350">
        <f>VLOOKUP(RevenueTable[[#This Row],[Units Sold]],Discounttable[],2)</f>
        <v>0.4375</v>
      </c>
      <c r="G350">
        <f>ROUND((1-RevenueTable[[#This Row],[Discount on Total Revenue]])*RevenueTable[[#This Row],[Total Revenue]],2)</f>
        <v>1794.4</v>
      </c>
    </row>
    <row r="351" spans="1:7" x14ac:dyDescent="0.3">
      <c r="A351" s="46">
        <v>43041</v>
      </c>
      <c r="B351" t="s">
        <v>13</v>
      </c>
      <c r="C351">
        <v>139</v>
      </c>
      <c r="D351" s="59">
        <v>14.95</v>
      </c>
      <c r="E351" s="59">
        <v>2078.0499999999997</v>
      </c>
      <c r="F351">
        <f>VLOOKUP(RevenueTable[[#This Row],[Units Sold]],Discounttable[],2)</f>
        <v>0.4375</v>
      </c>
      <c r="G351">
        <f>ROUND((1-RevenueTable[[#This Row],[Discount on Total Revenue]])*RevenueTable[[#This Row],[Total Revenue]],2)</f>
        <v>1168.9000000000001</v>
      </c>
    </row>
    <row r="352" spans="1:7" x14ac:dyDescent="0.3">
      <c r="A352" s="46">
        <v>43042</v>
      </c>
      <c r="B352" t="s">
        <v>13</v>
      </c>
      <c r="C352">
        <v>84</v>
      </c>
      <c r="D352" s="59">
        <v>14.95</v>
      </c>
      <c r="E352" s="59">
        <v>1255.8</v>
      </c>
      <c r="F352">
        <f>VLOOKUP(RevenueTable[[#This Row],[Units Sold]],Discounttable[],2)</f>
        <v>0.375</v>
      </c>
      <c r="G352">
        <f>ROUND((1-RevenueTable[[#This Row],[Discount on Total Revenue]])*RevenueTable[[#This Row],[Total Revenue]],2)</f>
        <v>784.88</v>
      </c>
    </row>
    <row r="353" spans="1:7" x14ac:dyDescent="0.3">
      <c r="A353" s="46">
        <v>43041</v>
      </c>
      <c r="B353" t="s">
        <v>8</v>
      </c>
      <c r="C353">
        <v>128</v>
      </c>
      <c r="D353" s="59">
        <v>21.95</v>
      </c>
      <c r="E353" s="59">
        <v>2809.6</v>
      </c>
      <c r="F353">
        <f>VLOOKUP(RevenueTable[[#This Row],[Units Sold]],Discounttable[],2)</f>
        <v>0.4375</v>
      </c>
      <c r="G353">
        <f>ROUND((1-RevenueTable[[#This Row],[Discount on Total Revenue]])*RevenueTable[[#This Row],[Total Revenue]],2)</f>
        <v>1580.4</v>
      </c>
    </row>
    <row r="354" spans="1:7" x14ac:dyDescent="0.3">
      <c r="A354" s="46">
        <v>43045</v>
      </c>
      <c r="B354" t="s">
        <v>5</v>
      </c>
      <c r="C354">
        <v>139</v>
      </c>
      <c r="D354" s="59">
        <v>22.95</v>
      </c>
      <c r="E354" s="59">
        <v>3190.0499999999997</v>
      </c>
      <c r="F354">
        <f>VLOOKUP(RevenueTable[[#This Row],[Units Sold]],Discounttable[],2)</f>
        <v>0.4375</v>
      </c>
      <c r="G354">
        <f>ROUND((1-RevenueTable[[#This Row],[Discount on Total Revenue]])*RevenueTable[[#This Row],[Total Revenue]],2)</f>
        <v>1794.4</v>
      </c>
    </row>
    <row r="355" spans="1:7" x14ac:dyDescent="0.3">
      <c r="A355" s="46">
        <v>43046</v>
      </c>
      <c r="B355" t="s">
        <v>5</v>
      </c>
      <c r="C355">
        <v>66</v>
      </c>
      <c r="D355" s="59">
        <v>22.95</v>
      </c>
      <c r="E355" s="59">
        <v>1514.7</v>
      </c>
      <c r="F355">
        <f>VLOOKUP(RevenueTable[[#This Row],[Units Sold]],Discounttable[],2)</f>
        <v>0.375</v>
      </c>
      <c r="G355">
        <f>ROUND((1-RevenueTable[[#This Row],[Discount on Total Revenue]])*RevenueTable[[#This Row],[Total Revenue]],2)</f>
        <v>946.69</v>
      </c>
    </row>
    <row r="356" spans="1:7" x14ac:dyDescent="0.3">
      <c r="A356" s="46">
        <v>43047</v>
      </c>
      <c r="B356" t="s">
        <v>7</v>
      </c>
      <c r="C356">
        <v>84</v>
      </c>
      <c r="D356" s="59">
        <v>43.95</v>
      </c>
      <c r="E356" s="59">
        <v>3691.8</v>
      </c>
      <c r="F356">
        <f>VLOOKUP(RevenueTable[[#This Row],[Units Sold]],Discounttable[],2)</f>
        <v>0.375</v>
      </c>
      <c r="G356">
        <f>ROUND((1-RevenueTable[[#This Row],[Discount on Total Revenue]])*RevenueTable[[#This Row],[Total Revenue]],2)</f>
        <v>2307.38</v>
      </c>
    </row>
    <row r="357" spans="1:7" x14ac:dyDescent="0.3">
      <c r="A357" s="46">
        <v>43045</v>
      </c>
      <c r="B357" t="s">
        <v>7</v>
      </c>
      <c r="C357">
        <v>149</v>
      </c>
      <c r="D357" s="59">
        <v>43.95</v>
      </c>
      <c r="E357" s="59">
        <v>6548.55</v>
      </c>
      <c r="F357">
        <f>VLOOKUP(RevenueTable[[#This Row],[Units Sold]],Discounttable[],2)</f>
        <v>0.5</v>
      </c>
      <c r="G357">
        <f>ROUND((1-RevenueTable[[#This Row],[Discount on Total Revenue]])*RevenueTable[[#This Row],[Total Revenue]],2)</f>
        <v>3274.28</v>
      </c>
    </row>
    <row r="358" spans="1:7" x14ac:dyDescent="0.3">
      <c r="A358" s="46">
        <v>43043</v>
      </c>
      <c r="B358" t="s">
        <v>5</v>
      </c>
      <c r="C358">
        <v>120</v>
      </c>
      <c r="D358" s="59">
        <v>22.95</v>
      </c>
      <c r="E358" s="59">
        <v>2754</v>
      </c>
      <c r="F358">
        <f>VLOOKUP(RevenueTable[[#This Row],[Units Sold]],Discounttable[],2)</f>
        <v>0.4375</v>
      </c>
      <c r="G358">
        <f>ROUND((1-RevenueTable[[#This Row],[Discount on Total Revenue]])*RevenueTable[[#This Row],[Total Revenue]],2)</f>
        <v>1549.13</v>
      </c>
    </row>
    <row r="359" spans="1:7" x14ac:dyDescent="0.3">
      <c r="A359" s="46">
        <v>43044</v>
      </c>
      <c r="B359" t="s">
        <v>8</v>
      </c>
      <c r="C359">
        <v>135</v>
      </c>
      <c r="D359" s="59">
        <v>21.95</v>
      </c>
      <c r="E359" s="59">
        <v>2963.25</v>
      </c>
      <c r="F359">
        <f>VLOOKUP(RevenueTable[[#This Row],[Units Sold]],Discounttable[],2)</f>
        <v>0.4375</v>
      </c>
      <c r="G359">
        <f>ROUND((1-RevenueTable[[#This Row],[Discount on Total Revenue]])*RevenueTable[[#This Row],[Total Revenue]],2)</f>
        <v>1666.83</v>
      </c>
    </row>
    <row r="360" spans="1:7" x14ac:dyDescent="0.3">
      <c r="A360" s="46">
        <v>43043</v>
      </c>
      <c r="B360" t="s">
        <v>8</v>
      </c>
      <c r="C360">
        <v>84</v>
      </c>
      <c r="D360" s="59">
        <v>21.95</v>
      </c>
      <c r="E360" s="59">
        <v>1843.8</v>
      </c>
      <c r="F360">
        <f>VLOOKUP(RevenueTable[[#This Row],[Units Sold]],Discounttable[],2)</f>
        <v>0.375</v>
      </c>
      <c r="G360">
        <f>ROUND((1-RevenueTable[[#This Row],[Discount on Total Revenue]])*RevenueTable[[#This Row],[Total Revenue]],2)</f>
        <v>1152.3800000000001</v>
      </c>
    </row>
    <row r="361" spans="1:7" x14ac:dyDescent="0.3">
      <c r="A361" s="46">
        <v>43044</v>
      </c>
      <c r="B361" t="s">
        <v>5</v>
      </c>
      <c r="C361">
        <v>120</v>
      </c>
      <c r="D361" s="59">
        <v>22.95</v>
      </c>
      <c r="E361" s="59">
        <v>2754</v>
      </c>
      <c r="F361">
        <f>VLOOKUP(RevenueTable[[#This Row],[Units Sold]],Discounttable[],2)</f>
        <v>0.4375</v>
      </c>
      <c r="G361">
        <f>ROUND((1-RevenueTable[[#This Row],[Discount on Total Revenue]])*RevenueTable[[#This Row],[Total Revenue]],2)</f>
        <v>1549.13</v>
      </c>
    </row>
    <row r="362" spans="1:7" x14ac:dyDescent="0.3">
      <c r="A362" s="46">
        <v>43041</v>
      </c>
      <c r="B362" t="s">
        <v>8</v>
      </c>
      <c r="C362">
        <v>29</v>
      </c>
      <c r="D362" s="59">
        <v>21.95</v>
      </c>
      <c r="E362" s="59">
        <v>636.54999999999995</v>
      </c>
      <c r="F362">
        <f>VLOOKUP(RevenueTable[[#This Row],[Units Sold]],Discounttable[],2)</f>
        <v>0.25</v>
      </c>
      <c r="G362">
        <f>ROUND((1-RevenueTable[[#This Row],[Discount on Total Revenue]])*RevenueTable[[#This Row],[Total Revenue]],2)</f>
        <v>477.41</v>
      </c>
    </row>
    <row r="363" spans="1:7" x14ac:dyDescent="0.3">
      <c r="A363" s="46">
        <v>43040</v>
      </c>
      <c r="B363" t="s">
        <v>5</v>
      </c>
      <c r="C363">
        <v>113</v>
      </c>
      <c r="D363" s="59">
        <v>22.95</v>
      </c>
      <c r="E363" s="59">
        <v>2593.35</v>
      </c>
      <c r="F363">
        <f>VLOOKUP(RevenueTable[[#This Row],[Units Sold]],Discounttable[],2)</f>
        <v>0.4375</v>
      </c>
      <c r="G363">
        <f>ROUND((1-RevenueTable[[#This Row],[Discount on Total Revenue]])*RevenueTable[[#This Row],[Total Revenue]],2)</f>
        <v>1458.76</v>
      </c>
    </row>
    <row r="364" spans="1:7" x14ac:dyDescent="0.3">
      <c r="A364" s="46">
        <v>43046</v>
      </c>
      <c r="B364" t="s">
        <v>7</v>
      </c>
      <c r="C364">
        <v>5</v>
      </c>
      <c r="D364" s="59">
        <v>43.95</v>
      </c>
      <c r="E364" s="59">
        <v>219.75</v>
      </c>
      <c r="F364">
        <f>VLOOKUP(RevenueTable[[#This Row],[Units Sold]],Discounttable[],2)</f>
        <v>0</v>
      </c>
      <c r="G364">
        <f>ROUND((1-RevenueTable[[#This Row],[Discount on Total Revenue]])*RevenueTable[[#This Row],[Total Revenue]],2)</f>
        <v>219.75</v>
      </c>
    </row>
    <row r="365" spans="1:7" x14ac:dyDescent="0.3">
      <c r="A365" s="46">
        <v>43045</v>
      </c>
      <c r="B365" t="s">
        <v>8</v>
      </c>
      <c r="C365">
        <v>10</v>
      </c>
      <c r="D365" s="59">
        <v>21.95</v>
      </c>
      <c r="E365" s="59">
        <v>219.5</v>
      </c>
      <c r="F365">
        <f>VLOOKUP(RevenueTable[[#This Row],[Units Sold]],Discounttable[],2)</f>
        <v>0</v>
      </c>
      <c r="G365">
        <f>ROUND((1-RevenueTable[[#This Row],[Discount on Total Revenue]])*RevenueTable[[#This Row],[Total Revenue]],2)</f>
        <v>219.5</v>
      </c>
    </row>
    <row r="366" spans="1:7" x14ac:dyDescent="0.3">
      <c r="A366" s="46">
        <v>43041</v>
      </c>
      <c r="B366" t="s">
        <v>8</v>
      </c>
      <c r="C366">
        <v>184</v>
      </c>
      <c r="D366" s="59">
        <v>21.95</v>
      </c>
      <c r="E366" s="59">
        <v>4038.7999999999997</v>
      </c>
      <c r="F366">
        <f>VLOOKUP(RevenueTable[[#This Row],[Units Sold]],Discounttable[],2)</f>
        <v>0.55000000000000004</v>
      </c>
      <c r="G366">
        <f>ROUND((1-RevenueTable[[#This Row],[Discount on Total Revenue]])*RevenueTable[[#This Row],[Total Revenue]],2)</f>
        <v>1817.46</v>
      </c>
    </row>
    <row r="367" spans="1:7" x14ac:dyDescent="0.3">
      <c r="A367" s="46">
        <v>43040</v>
      </c>
      <c r="B367" t="s">
        <v>8</v>
      </c>
      <c r="C367">
        <v>45</v>
      </c>
      <c r="D367" s="59">
        <v>21.95</v>
      </c>
      <c r="E367" s="59">
        <v>987.75</v>
      </c>
      <c r="F367">
        <f>VLOOKUP(RevenueTable[[#This Row],[Units Sold]],Discounttable[],2)</f>
        <v>0.25</v>
      </c>
      <c r="G367">
        <f>ROUND((1-RevenueTable[[#This Row],[Discount on Total Revenue]])*RevenueTable[[#This Row],[Total Revenue]],2)</f>
        <v>740.81</v>
      </c>
    </row>
    <row r="368" spans="1:7" x14ac:dyDescent="0.3">
      <c r="A368" s="46">
        <v>43042</v>
      </c>
      <c r="B368" t="s">
        <v>13</v>
      </c>
      <c r="C368">
        <v>39</v>
      </c>
      <c r="D368" s="59">
        <v>14.95</v>
      </c>
      <c r="E368" s="59">
        <v>583.04999999999995</v>
      </c>
      <c r="F368">
        <f>VLOOKUP(RevenueTable[[#This Row],[Units Sold]],Discounttable[],2)</f>
        <v>0.25</v>
      </c>
      <c r="G368">
        <f>ROUND((1-RevenueTable[[#This Row],[Discount on Total Revenue]])*RevenueTable[[#This Row],[Total Revenue]],2)</f>
        <v>437.29</v>
      </c>
    </row>
    <row r="369" spans="1:7" x14ac:dyDescent="0.3">
      <c r="A369" s="46">
        <v>43040</v>
      </c>
      <c r="B369" t="s">
        <v>5</v>
      </c>
      <c r="C369">
        <v>55</v>
      </c>
      <c r="D369" s="59">
        <v>22.95</v>
      </c>
      <c r="E369" s="59">
        <v>1262.25</v>
      </c>
      <c r="F369">
        <f>VLOOKUP(RevenueTable[[#This Row],[Units Sold]],Discounttable[],2)</f>
        <v>0.375</v>
      </c>
      <c r="G369">
        <f>ROUND((1-RevenueTable[[#This Row],[Discount on Total Revenue]])*RevenueTable[[#This Row],[Total Revenue]],2)</f>
        <v>788.91</v>
      </c>
    </row>
    <row r="370" spans="1:7" x14ac:dyDescent="0.3">
      <c r="A370" s="46">
        <v>43042</v>
      </c>
      <c r="B370" t="s">
        <v>13</v>
      </c>
      <c r="C370">
        <v>185</v>
      </c>
      <c r="D370" s="59">
        <v>14.95</v>
      </c>
      <c r="E370" s="59">
        <v>2765.75</v>
      </c>
      <c r="F370">
        <f>VLOOKUP(RevenueTable[[#This Row],[Units Sold]],Discounttable[],2)</f>
        <v>0.55000000000000004</v>
      </c>
      <c r="G370">
        <f>ROUND((1-RevenueTable[[#This Row],[Discount on Total Revenue]])*RevenueTable[[#This Row],[Total Revenue]],2)</f>
        <v>1244.5899999999999</v>
      </c>
    </row>
    <row r="371" spans="1:7" x14ac:dyDescent="0.3">
      <c r="A371" s="46">
        <v>43045</v>
      </c>
      <c r="B371" t="s">
        <v>5</v>
      </c>
      <c r="C371">
        <v>22</v>
      </c>
      <c r="D371" s="59">
        <v>22.95</v>
      </c>
      <c r="E371" s="59">
        <v>504.9</v>
      </c>
      <c r="F371">
        <f>VLOOKUP(RevenueTable[[#This Row],[Units Sold]],Discounttable[],2)</f>
        <v>0.25</v>
      </c>
      <c r="G371">
        <f>ROUND((1-RevenueTable[[#This Row],[Discount on Total Revenue]])*RevenueTable[[#This Row],[Total Revenue]],2)</f>
        <v>378.68</v>
      </c>
    </row>
    <row r="372" spans="1:7" x14ac:dyDescent="0.3">
      <c r="A372" s="46">
        <v>43040</v>
      </c>
      <c r="B372" t="s">
        <v>7</v>
      </c>
      <c r="C372">
        <v>103</v>
      </c>
      <c r="D372" s="59">
        <v>43.95</v>
      </c>
      <c r="E372" s="59">
        <v>4526.8500000000004</v>
      </c>
      <c r="F372">
        <f>VLOOKUP(RevenueTable[[#This Row],[Units Sold]],Discounttable[],2)</f>
        <v>0.4375</v>
      </c>
      <c r="G372">
        <f>ROUND((1-RevenueTable[[#This Row],[Discount on Total Revenue]])*RevenueTable[[#This Row],[Total Revenue]],2)</f>
        <v>2546.35</v>
      </c>
    </row>
    <row r="373" spans="1:7" x14ac:dyDescent="0.3">
      <c r="A373" s="46">
        <v>43042</v>
      </c>
      <c r="B373" t="s">
        <v>5</v>
      </c>
      <c r="C373">
        <v>149</v>
      </c>
      <c r="D373" s="59">
        <v>22.95</v>
      </c>
      <c r="E373" s="59">
        <v>3419.5499999999997</v>
      </c>
      <c r="F373">
        <f>VLOOKUP(RevenueTable[[#This Row],[Units Sold]],Discounttable[],2)</f>
        <v>0.5</v>
      </c>
      <c r="G373">
        <f>ROUND((1-RevenueTable[[#This Row],[Discount on Total Revenue]])*RevenueTable[[#This Row],[Total Revenue]],2)</f>
        <v>1709.78</v>
      </c>
    </row>
    <row r="374" spans="1:7" x14ac:dyDescent="0.3">
      <c r="A374" s="46">
        <v>43046</v>
      </c>
      <c r="B374" t="s">
        <v>8</v>
      </c>
      <c r="C374">
        <v>70</v>
      </c>
      <c r="D374" s="59">
        <v>21.95</v>
      </c>
      <c r="E374" s="59">
        <v>1536.5</v>
      </c>
      <c r="F374">
        <f>VLOOKUP(RevenueTable[[#This Row],[Units Sold]],Discounttable[],2)</f>
        <v>0.375</v>
      </c>
      <c r="G374">
        <f>ROUND((1-RevenueTable[[#This Row],[Discount on Total Revenue]])*RevenueTable[[#This Row],[Total Revenue]],2)</f>
        <v>960.31</v>
      </c>
    </row>
    <row r="375" spans="1:7" x14ac:dyDescent="0.3">
      <c r="A375" s="46">
        <v>43040</v>
      </c>
      <c r="B375" t="s">
        <v>13</v>
      </c>
      <c r="C375">
        <v>30</v>
      </c>
      <c r="D375" s="59">
        <v>14.95</v>
      </c>
      <c r="E375" s="59">
        <v>448.5</v>
      </c>
      <c r="F375">
        <f>VLOOKUP(RevenueTable[[#This Row],[Units Sold]],Discounttable[],2)</f>
        <v>0.25</v>
      </c>
      <c r="G375">
        <f>ROUND((1-RevenueTable[[#This Row],[Discount on Total Revenue]])*RevenueTable[[#This Row],[Total Revenue]],2)</f>
        <v>336.38</v>
      </c>
    </row>
    <row r="376" spans="1:7" x14ac:dyDescent="0.3">
      <c r="A376" s="46">
        <v>43047</v>
      </c>
      <c r="B376" t="s">
        <v>8</v>
      </c>
      <c r="C376">
        <v>119</v>
      </c>
      <c r="D376" s="59">
        <v>21.95</v>
      </c>
      <c r="E376" s="59">
        <v>2612.0499999999997</v>
      </c>
      <c r="F376">
        <f>VLOOKUP(RevenueTable[[#This Row],[Units Sold]],Discounttable[],2)</f>
        <v>0.4375</v>
      </c>
      <c r="G376">
        <f>ROUND((1-RevenueTable[[#This Row],[Discount on Total Revenue]])*RevenueTable[[#This Row],[Total Revenue]],2)</f>
        <v>1469.28</v>
      </c>
    </row>
    <row r="377" spans="1:7" x14ac:dyDescent="0.3">
      <c r="A377" s="46">
        <v>43045</v>
      </c>
      <c r="B377" t="s">
        <v>13</v>
      </c>
      <c r="C377">
        <v>136</v>
      </c>
      <c r="D377" s="59">
        <v>14.95</v>
      </c>
      <c r="E377" s="59">
        <v>2033.1999999999998</v>
      </c>
      <c r="F377">
        <f>VLOOKUP(RevenueTable[[#This Row],[Units Sold]],Discounttable[],2)</f>
        <v>0.4375</v>
      </c>
      <c r="G377">
        <f>ROUND((1-RevenueTable[[#This Row],[Discount on Total Revenue]])*RevenueTable[[#This Row],[Total Revenue]],2)</f>
        <v>1143.68</v>
      </c>
    </row>
    <row r="378" spans="1:7" x14ac:dyDescent="0.3">
      <c r="A378" s="46">
        <v>43044</v>
      </c>
      <c r="B378" t="s">
        <v>13</v>
      </c>
      <c r="C378">
        <v>156</v>
      </c>
      <c r="D378" s="59">
        <v>14.95</v>
      </c>
      <c r="E378" s="59">
        <v>2332.1999999999998</v>
      </c>
      <c r="F378">
        <f>VLOOKUP(RevenueTable[[#This Row],[Units Sold]],Discounttable[],2)</f>
        <v>0.5</v>
      </c>
      <c r="G378">
        <f>ROUND((1-RevenueTable[[#This Row],[Discount on Total Revenue]])*RevenueTable[[#This Row],[Total Revenue]],2)</f>
        <v>1166.0999999999999</v>
      </c>
    </row>
    <row r="379" spans="1:7" x14ac:dyDescent="0.3">
      <c r="A379" s="46">
        <v>43045</v>
      </c>
      <c r="B379" t="s">
        <v>7</v>
      </c>
      <c r="C379">
        <v>87</v>
      </c>
      <c r="D379" s="59">
        <v>43.95</v>
      </c>
      <c r="E379" s="59">
        <v>3823.65</v>
      </c>
      <c r="F379">
        <f>VLOOKUP(RevenueTable[[#This Row],[Units Sold]],Discounttable[],2)</f>
        <v>0.375</v>
      </c>
      <c r="G379">
        <f>ROUND((1-RevenueTable[[#This Row],[Discount on Total Revenue]])*RevenueTable[[#This Row],[Total Revenue]],2)</f>
        <v>2389.7800000000002</v>
      </c>
    </row>
    <row r="380" spans="1:7" x14ac:dyDescent="0.3">
      <c r="A380" s="46">
        <v>43040</v>
      </c>
      <c r="B380" t="s">
        <v>5</v>
      </c>
      <c r="C380">
        <v>174</v>
      </c>
      <c r="D380" s="59">
        <v>22.95</v>
      </c>
      <c r="E380" s="59">
        <v>3993.2999999999997</v>
      </c>
      <c r="F380">
        <f>VLOOKUP(RevenueTable[[#This Row],[Units Sold]],Discounttable[],2)</f>
        <v>0.55000000000000004</v>
      </c>
      <c r="G380">
        <f>ROUND((1-RevenueTable[[#This Row],[Discount on Total Revenue]])*RevenueTable[[#This Row],[Total Revenue]],2)</f>
        <v>1796.99</v>
      </c>
    </row>
    <row r="381" spans="1:7" x14ac:dyDescent="0.3">
      <c r="A381" s="46">
        <v>43040</v>
      </c>
      <c r="B381" t="s">
        <v>7</v>
      </c>
      <c r="C381">
        <v>188</v>
      </c>
      <c r="D381" s="59">
        <v>43.95</v>
      </c>
      <c r="E381" s="59">
        <v>8262.6</v>
      </c>
      <c r="F381">
        <f>VLOOKUP(RevenueTable[[#This Row],[Units Sold]],Discounttable[],2)</f>
        <v>0.55000000000000004</v>
      </c>
      <c r="G381">
        <f>ROUND((1-RevenueTable[[#This Row],[Discount on Total Revenue]])*RevenueTable[[#This Row],[Total Revenue]],2)</f>
        <v>3718.17</v>
      </c>
    </row>
    <row r="382" spans="1:7" x14ac:dyDescent="0.3">
      <c r="A382" s="46">
        <v>43046</v>
      </c>
      <c r="B382" t="s">
        <v>8</v>
      </c>
      <c r="C382">
        <v>189</v>
      </c>
      <c r="D382" s="59">
        <v>21.95</v>
      </c>
      <c r="E382" s="59">
        <v>4148.55</v>
      </c>
      <c r="F382">
        <f>VLOOKUP(RevenueTable[[#This Row],[Units Sold]],Discounttable[],2)</f>
        <v>0.55000000000000004</v>
      </c>
      <c r="G382">
        <f>ROUND((1-RevenueTable[[#This Row],[Discount on Total Revenue]])*RevenueTable[[#This Row],[Total Revenue]],2)</f>
        <v>1866.85</v>
      </c>
    </row>
    <row r="383" spans="1:7" x14ac:dyDescent="0.3">
      <c r="A383" s="46">
        <v>43040</v>
      </c>
      <c r="B383" t="s">
        <v>13</v>
      </c>
      <c r="C383">
        <v>154</v>
      </c>
      <c r="D383" s="59">
        <v>14.95</v>
      </c>
      <c r="E383" s="59">
        <v>2302.2999999999997</v>
      </c>
      <c r="F383">
        <f>VLOOKUP(RevenueTable[[#This Row],[Units Sold]],Discounttable[],2)</f>
        <v>0.5</v>
      </c>
      <c r="G383">
        <f>ROUND((1-RevenueTable[[#This Row],[Discount on Total Revenue]])*RevenueTable[[#This Row],[Total Revenue]],2)</f>
        <v>1151.1500000000001</v>
      </c>
    </row>
    <row r="384" spans="1:7" x14ac:dyDescent="0.3">
      <c r="A384" s="46">
        <v>43040</v>
      </c>
      <c r="B384" t="s">
        <v>8</v>
      </c>
      <c r="C384">
        <v>48</v>
      </c>
      <c r="D384" s="59">
        <v>21.95</v>
      </c>
      <c r="E384" s="59">
        <v>1053.5999999999999</v>
      </c>
      <c r="F384">
        <f>VLOOKUP(RevenueTable[[#This Row],[Units Sold]],Discounttable[],2)</f>
        <v>0.375</v>
      </c>
      <c r="G384">
        <f>ROUND((1-RevenueTable[[#This Row],[Discount on Total Revenue]])*RevenueTable[[#This Row],[Total Revenue]],2)</f>
        <v>658.5</v>
      </c>
    </row>
    <row r="385" spans="1:7" x14ac:dyDescent="0.3">
      <c r="A385" s="46">
        <v>43041</v>
      </c>
      <c r="B385" t="s">
        <v>7</v>
      </c>
      <c r="C385">
        <v>61</v>
      </c>
      <c r="D385" s="59">
        <v>43.95</v>
      </c>
      <c r="E385" s="59">
        <v>2680.9500000000003</v>
      </c>
      <c r="F385">
        <f>VLOOKUP(RevenueTable[[#This Row],[Units Sold]],Discounttable[],2)</f>
        <v>0.375</v>
      </c>
      <c r="G385">
        <f>ROUND((1-RevenueTable[[#This Row],[Discount on Total Revenue]])*RevenueTable[[#This Row],[Total Revenue]],2)</f>
        <v>1675.59</v>
      </c>
    </row>
    <row r="386" spans="1:7" x14ac:dyDescent="0.3">
      <c r="A386" s="46">
        <v>43043</v>
      </c>
      <c r="B386" t="s">
        <v>7</v>
      </c>
      <c r="C386">
        <v>73</v>
      </c>
      <c r="D386" s="59">
        <v>43.95</v>
      </c>
      <c r="E386" s="59">
        <v>3208.3500000000004</v>
      </c>
      <c r="F386">
        <f>VLOOKUP(RevenueTable[[#This Row],[Units Sold]],Discounttable[],2)</f>
        <v>0.375</v>
      </c>
      <c r="G386">
        <f>ROUND((1-RevenueTable[[#This Row],[Discount on Total Revenue]])*RevenueTable[[#This Row],[Total Revenue]],2)</f>
        <v>2005.22</v>
      </c>
    </row>
    <row r="387" spans="1:7" x14ac:dyDescent="0.3">
      <c r="A387" s="46">
        <v>43045</v>
      </c>
      <c r="B387" t="s">
        <v>5</v>
      </c>
      <c r="C387">
        <v>122</v>
      </c>
      <c r="D387" s="59">
        <v>22.95</v>
      </c>
      <c r="E387" s="59">
        <v>2799.9</v>
      </c>
      <c r="F387">
        <f>VLOOKUP(RevenueTable[[#This Row],[Units Sold]],Discounttable[],2)</f>
        <v>0.4375</v>
      </c>
      <c r="G387">
        <f>ROUND((1-RevenueTable[[#This Row],[Discount on Total Revenue]])*RevenueTable[[#This Row],[Total Revenue]],2)</f>
        <v>1574.94</v>
      </c>
    </row>
    <row r="388" spans="1:7" x14ac:dyDescent="0.3">
      <c r="A388" s="46">
        <v>43045</v>
      </c>
      <c r="B388" t="s">
        <v>7</v>
      </c>
      <c r="C388">
        <v>67</v>
      </c>
      <c r="D388" s="59">
        <v>43.95</v>
      </c>
      <c r="E388" s="59">
        <v>2944.65</v>
      </c>
      <c r="F388">
        <f>VLOOKUP(RevenueTable[[#This Row],[Units Sold]],Discounttable[],2)</f>
        <v>0.375</v>
      </c>
      <c r="G388">
        <f>ROUND((1-RevenueTable[[#This Row],[Discount on Total Revenue]])*RevenueTable[[#This Row],[Total Revenue]],2)</f>
        <v>1840.41</v>
      </c>
    </row>
    <row r="389" spans="1:7" x14ac:dyDescent="0.3">
      <c r="A389" s="46">
        <v>43041</v>
      </c>
      <c r="B389" t="s">
        <v>7</v>
      </c>
      <c r="C389">
        <v>190</v>
      </c>
      <c r="D389" s="59">
        <v>43.95</v>
      </c>
      <c r="E389" s="59">
        <v>8350.5</v>
      </c>
      <c r="F389">
        <f>VLOOKUP(RevenueTable[[#This Row],[Units Sold]],Discounttable[],2)</f>
        <v>0.55000000000000004</v>
      </c>
      <c r="G389">
        <f>ROUND((1-RevenueTable[[#This Row],[Discount on Total Revenue]])*RevenueTable[[#This Row],[Total Revenue]],2)</f>
        <v>3757.73</v>
      </c>
    </row>
    <row r="390" spans="1:7" x14ac:dyDescent="0.3">
      <c r="A390" s="46">
        <v>43047</v>
      </c>
      <c r="B390" t="s">
        <v>8</v>
      </c>
      <c r="C390">
        <v>154</v>
      </c>
      <c r="D390" s="59">
        <v>21.95</v>
      </c>
      <c r="E390" s="59">
        <v>3380.2999999999997</v>
      </c>
      <c r="F390">
        <f>VLOOKUP(RevenueTable[[#This Row],[Units Sold]],Discounttable[],2)</f>
        <v>0.5</v>
      </c>
      <c r="G390">
        <f>ROUND((1-RevenueTable[[#This Row],[Discount on Total Revenue]])*RevenueTable[[#This Row],[Total Revenue]],2)</f>
        <v>1690.15</v>
      </c>
    </row>
    <row r="391" spans="1:7" x14ac:dyDescent="0.3">
      <c r="A391" s="46">
        <v>43044</v>
      </c>
      <c r="B391" t="s">
        <v>13</v>
      </c>
      <c r="C391">
        <v>177</v>
      </c>
      <c r="D391" s="59">
        <v>14.95</v>
      </c>
      <c r="E391" s="59">
        <v>2646.15</v>
      </c>
      <c r="F391">
        <f>VLOOKUP(RevenueTable[[#This Row],[Units Sold]],Discounttable[],2)</f>
        <v>0.55000000000000004</v>
      </c>
      <c r="G391">
        <f>ROUND((1-RevenueTable[[#This Row],[Discount on Total Revenue]])*RevenueTable[[#This Row],[Total Revenue]],2)</f>
        <v>1190.77</v>
      </c>
    </row>
    <row r="392" spans="1:7" x14ac:dyDescent="0.3">
      <c r="A392" s="46">
        <v>43046</v>
      </c>
      <c r="B392" t="s">
        <v>13</v>
      </c>
      <c r="C392">
        <v>48</v>
      </c>
      <c r="D392" s="59">
        <v>14.95</v>
      </c>
      <c r="E392" s="59">
        <v>717.59999999999991</v>
      </c>
      <c r="F392">
        <f>VLOOKUP(RevenueTable[[#This Row],[Units Sold]],Discounttable[],2)</f>
        <v>0.375</v>
      </c>
      <c r="G392">
        <f>ROUND((1-RevenueTable[[#This Row],[Discount on Total Revenue]])*RevenueTable[[#This Row],[Total Revenue]],2)</f>
        <v>448.5</v>
      </c>
    </row>
    <row r="393" spans="1:7" x14ac:dyDescent="0.3">
      <c r="A393" s="46">
        <v>43043</v>
      </c>
      <c r="B393" t="s">
        <v>7</v>
      </c>
      <c r="C393">
        <v>83</v>
      </c>
      <c r="D393" s="59">
        <v>43.95</v>
      </c>
      <c r="E393" s="59">
        <v>3647.8500000000004</v>
      </c>
      <c r="F393">
        <f>VLOOKUP(RevenueTable[[#This Row],[Units Sold]],Discounttable[],2)</f>
        <v>0.375</v>
      </c>
      <c r="G393">
        <f>ROUND((1-RevenueTable[[#This Row],[Discount on Total Revenue]])*RevenueTable[[#This Row],[Total Revenue]],2)</f>
        <v>2279.91</v>
      </c>
    </row>
    <row r="394" spans="1:7" x14ac:dyDescent="0.3">
      <c r="A394" s="46">
        <v>43043</v>
      </c>
      <c r="B394" t="s">
        <v>8</v>
      </c>
      <c r="C394">
        <v>116</v>
      </c>
      <c r="D394" s="59">
        <v>21.95</v>
      </c>
      <c r="E394" s="59">
        <v>2546.1999999999998</v>
      </c>
      <c r="F394">
        <f>VLOOKUP(RevenueTable[[#This Row],[Units Sold]],Discounttable[],2)</f>
        <v>0.4375</v>
      </c>
      <c r="G394">
        <f>ROUND((1-RevenueTable[[#This Row],[Discount on Total Revenue]])*RevenueTable[[#This Row],[Total Revenue]],2)</f>
        <v>1432.24</v>
      </c>
    </row>
    <row r="395" spans="1:7" x14ac:dyDescent="0.3">
      <c r="A395" s="46">
        <v>43043</v>
      </c>
      <c r="B395" t="s">
        <v>5</v>
      </c>
      <c r="C395">
        <v>20</v>
      </c>
      <c r="D395" s="59">
        <v>22.95</v>
      </c>
      <c r="E395" s="59">
        <v>459</v>
      </c>
      <c r="F395">
        <f>VLOOKUP(RevenueTable[[#This Row],[Units Sold]],Discounttable[],2)</f>
        <v>0.25</v>
      </c>
      <c r="G395">
        <f>ROUND((1-RevenueTable[[#This Row],[Discount on Total Revenue]])*RevenueTable[[#This Row],[Total Revenue]],2)</f>
        <v>344.25</v>
      </c>
    </row>
    <row r="396" spans="1:7" x14ac:dyDescent="0.3">
      <c r="A396" s="46">
        <v>43042</v>
      </c>
      <c r="B396" t="s">
        <v>5</v>
      </c>
      <c r="C396">
        <v>146</v>
      </c>
      <c r="D396" s="59">
        <v>22.95</v>
      </c>
      <c r="E396" s="59">
        <v>3350.7</v>
      </c>
      <c r="F396">
        <f>VLOOKUP(RevenueTable[[#This Row],[Units Sold]],Discounttable[],2)</f>
        <v>0.5</v>
      </c>
      <c r="G396">
        <f>ROUND((1-RevenueTable[[#This Row],[Discount on Total Revenue]])*RevenueTable[[#This Row],[Total Revenue]],2)</f>
        <v>1675.35</v>
      </c>
    </row>
    <row r="397" spans="1:7" x14ac:dyDescent="0.3">
      <c r="A397" s="46">
        <v>43041</v>
      </c>
      <c r="B397" t="s">
        <v>5</v>
      </c>
      <c r="C397">
        <v>176</v>
      </c>
      <c r="D397" s="59">
        <v>22.95</v>
      </c>
      <c r="E397" s="59">
        <v>4039.2</v>
      </c>
      <c r="F397">
        <f>VLOOKUP(RevenueTable[[#This Row],[Units Sold]],Discounttable[],2)</f>
        <v>0.55000000000000004</v>
      </c>
      <c r="G397">
        <f>ROUND((1-RevenueTable[[#This Row],[Discount on Total Revenue]])*RevenueTable[[#This Row],[Total Revenue]],2)</f>
        <v>1817.64</v>
      </c>
    </row>
    <row r="398" spans="1:7" x14ac:dyDescent="0.3">
      <c r="A398" s="46">
        <v>43040</v>
      </c>
      <c r="B398" t="s">
        <v>7</v>
      </c>
      <c r="C398">
        <v>40</v>
      </c>
      <c r="D398" s="59">
        <v>43.95</v>
      </c>
      <c r="E398" s="59">
        <v>1758</v>
      </c>
      <c r="F398">
        <f>VLOOKUP(RevenueTable[[#This Row],[Units Sold]],Discounttable[],2)</f>
        <v>0.25</v>
      </c>
      <c r="G398">
        <f>ROUND((1-RevenueTable[[#This Row],[Discount on Total Revenue]])*RevenueTable[[#This Row],[Total Revenue]],2)</f>
        <v>1318.5</v>
      </c>
    </row>
    <row r="399" spans="1:7" x14ac:dyDescent="0.3">
      <c r="A399" s="46">
        <v>43043</v>
      </c>
      <c r="B399" t="s">
        <v>8</v>
      </c>
      <c r="C399">
        <v>29</v>
      </c>
      <c r="D399" s="59">
        <v>21.95</v>
      </c>
      <c r="E399" s="59">
        <v>636.54999999999995</v>
      </c>
      <c r="F399">
        <f>VLOOKUP(RevenueTable[[#This Row],[Units Sold]],Discounttable[],2)</f>
        <v>0.25</v>
      </c>
      <c r="G399">
        <f>ROUND((1-RevenueTable[[#This Row],[Discount on Total Revenue]])*RevenueTable[[#This Row],[Total Revenue]],2)</f>
        <v>477.41</v>
      </c>
    </row>
    <row r="400" spans="1:7" x14ac:dyDescent="0.3">
      <c r="A400" s="46">
        <v>43044</v>
      </c>
      <c r="B400" t="s">
        <v>7</v>
      </c>
      <c r="C400">
        <v>65</v>
      </c>
      <c r="D400" s="59">
        <v>43.95</v>
      </c>
      <c r="E400" s="59">
        <v>2856.75</v>
      </c>
      <c r="F400">
        <f>VLOOKUP(RevenueTable[[#This Row],[Units Sold]],Discounttable[],2)</f>
        <v>0.375</v>
      </c>
      <c r="G400">
        <f>ROUND((1-RevenueTable[[#This Row],[Discount on Total Revenue]])*RevenueTable[[#This Row],[Total Revenue]],2)</f>
        <v>1785.47</v>
      </c>
    </row>
    <row r="401" spans="1:7" x14ac:dyDescent="0.3">
      <c r="A401" s="46">
        <v>43045</v>
      </c>
      <c r="B401" t="s">
        <v>5</v>
      </c>
      <c r="C401">
        <v>21</v>
      </c>
      <c r="D401" s="59">
        <v>22.95</v>
      </c>
      <c r="E401" s="59">
        <v>481.95</v>
      </c>
      <c r="F401">
        <f>VLOOKUP(RevenueTable[[#This Row],[Units Sold]],Discounttable[],2)</f>
        <v>0.25</v>
      </c>
      <c r="G401">
        <f>ROUND((1-RevenueTable[[#This Row],[Discount on Total Revenue]])*RevenueTable[[#This Row],[Total Revenue]],2)</f>
        <v>361.46</v>
      </c>
    </row>
    <row r="402" spans="1:7" x14ac:dyDescent="0.3">
      <c r="A402" s="46">
        <v>43043</v>
      </c>
      <c r="B402" t="s">
        <v>5</v>
      </c>
      <c r="C402">
        <v>64</v>
      </c>
      <c r="D402" s="59">
        <v>22.95</v>
      </c>
      <c r="E402" s="59">
        <v>1468.8</v>
      </c>
      <c r="F402">
        <f>VLOOKUP(RevenueTable[[#This Row],[Units Sold]],Discounttable[],2)</f>
        <v>0.375</v>
      </c>
      <c r="G402">
        <f>ROUND((1-RevenueTable[[#This Row],[Discount on Total Revenue]])*RevenueTable[[#This Row],[Total Revenue]],2)</f>
        <v>918</v>
      </c>
    </row>
    <row r="403" spans="1:7" x14ac:dyDescent="0.3">
      <c r="A403" s="46">
        <v>43040</v>
      </c>
      <c r="B403" t="s">
        <v>8</v>
      </c>
      <c r="C403">
        <v>137</v>
      </c>
      <c r="D403" s="59">
        <v>21.95</v>
      </c>
      <c r="E403" s="59">
        <v>3007.15</v>
      </c>
      <c r="F403">
        <f>VLOOKUP(RevenueTable[[#This Row],[Units Sold]],Discounttable[],2)</f>
        <v>0.4375</v>
      </c>
      <c r="G403">
        <f>ROUND((1-RevenueTable[[#This Row],[Discount on Total Revenue]])*RevenueTable[[#This Row],[Total Revenue]],2)</f>
        <v>1691.52</v>
      </c>
    </row>
    <row r="404" spans="1:7" x14ac:dyDescent="0.3">
      <c r="A404" s="46">
        <v>43045</v>
      </c>
      <c r="B404" t="s">
        <v>8</v>
      </c>
      <c r="C404">
        <v>46</v>
      </c>
      <c r="D404" s="59">
        <v>21.95</v>
      </c>
      <c r="E404" s="59">
        <v>1009.6999999999999</v>
      </c>
      <c r="F404">
        <f>VLOOKUP(RevenueTable[[#This Row],[Units Sold]],Discounttable[],2)</f>
        <v>0.25</v>
      </c>
      <c r="G404">
        <f>ROUND((1-RevenueTable[[#This Row],[Discount on Total Revenue]])*RevenueTable[[#This Row],[Total Revenue]],2)</f>
        <v>757.28</v>
      </c>
    </row>
    <row r="405" spans="1:7" x14ac:dyDescent="0.3">
      <c r="A405" s="46">
        <v>43046</v>
      </c>
      <c r="B405" t="s">
        <v>5</v>
      </c>
      <c r="C405">
        <v>176</v>
      </c>
      <c r="D405" s="59">
        <v>22.95</v>
      </c>
      <c r="E405" s="59">
        <v>4039.2</v>
      </c>
      <c r="F405">
        <f>VLOOKUP(RevenueTable[[#This Row],[Units Sold]],Discounttable[],2)</f>
        <v>0.55000000000000004</v>
      </c>
      <c r="G405">
        <f>ROUND((1-RevenueTable[[#This Row],[Discount on Total Revenue]])*RevenueTable[[#This Row],[Total Revenue]],2)</f>
        <v>1817.64</v>
      </c>
    </row>
    <row r="406" spans="1:7" x14ac:dyDescent="0.3">
      <c r="A406" s="46">
        <v>43042</v>
      </c>
      <c r="B406" t="s">
        <v>13</v>
      </c>
      <c r="C406">
        <v>58</v>
      </c>
      <c r="D406" s="59">
        <v>14.95</v>
      </c>
      <c r="E406" s="59">
        <v>867.09999999999991</v>
      </c>
      <c r="F406">
        <f>VLOOKUP(RevenueTable[[#This Row],[Units Sold]],Discounttable[],2)</f>
        <v>0.375</v>
      </c>
      <c r="G406">
        <f>ROUND((1-RevenueTable[[#This Row],[Discount on Total Revenue]])*RevenueTable[[#This Row],[Total Revenue]],2)</f>
        <v>541.94000000000005</v>
      </c>
    </row>
    <row r="407" spans="1:7" x14ac:dyDescent="0.3">
      <c r="A407" s="46">
        <v>43040</v>
      </c>
      <c r="B407" t="s">
        <v>13</v>
      </c>
      <c r="C407">
        <v>42</v>
      </c>
      <c r="D407" s="59">
        <v>14.95</v>
      </c>
      <c r="E407" s="59">
        <v>627.9</v>
      </c>
      <c r="F407">
        <f>VLOOKUP(RevenueTable[[#This Row],[Units Sold]],Discounttable[],2)</f>
        <v>0.25</v>
      </c>
      <c r="G407">
        <f>ROUND((1-RevenueTable[[#This Row],[Discount on Total Revenue]])*RevenueTable[[#This Row],[Total Revenue]],2)</f>
        <v>470.93</v>
      </c>
    </row>
    <row r="408" spans="1:7" x14ac:dyDescent="0.3">
      <c r="A408" s="46">
        <v>43043</v>
      </c>
      <c r="B408" t="s">
        <v>13</v>
      </c>
      <c r="C408">
        <v>160</v>
      </c>
      <c r="D408" s="59">
        <v>14.95</v>
      </c>
      <c r="E408" s="59">
        <v>2392</v>
      </c>
      <c r="F408">
        <f>VLOOKUP(RevenueTable[[#This Row],[Units Sold]],Discounttable[],2)</f>
        <v>0.5</v>
      </c>
      <c r="G408">
        <f>ROUND((1-RevenueTable[[#This Row],[Discount on Total Revenue]])*RevenueTable[[#This Row],[Total Revenue]],2)</f>
        <v>1196</v>
      </c>
    </row>
    <row r="409" spans="1:7" x14ac:dyDescent="0.3">
      <c r="A409" s="46">
        <v>43045</v>
      </c>
      <c r="B409" t="s">
        <v>8</v>
      </c>
      <c r="C409">
        <v>105</v>
      </c>
      <c r="D409" s="59">
        <v>21.95</v>
      </c>
      <c r="E409" s="59">
        <v>2304.75</v>
      </c>
      <c r="F409">
        <f>VLOOKUP(RevenueTable[[#This Row],[Units Sold]],Discounttable[],2)</f>
        <v>0.4375</v>
      </c>
      <c r="G409">
        <f>ROUND((1-RevenueTable[[#This Row],[Discount on Total Revenue]])*RevenueTable[[#This Row],[Total Revenue]],2)</f>
        <v>1296.42</v>
      </c>
    </row>
    <row r="410" spans="1:7" x14ac:dyDescent="0.3">
      <c r="A410" s="46">
        <v>43042</v>
      </c>
      <c r="B410" t="s">
        <v>5</v>
      </c>
      <c r="C410">
        <v>139</v>
      </c>
      <c r="D410" s="59">
        <v>22.95</v>
      </c>
      <c r="E410" s="59">
        <v>3190.0499999999997</v>
      </c>
      <c r="F410">
        <f>VLOOKUP(RevenueTable[[#This Row],[Units Sold]],Discounttable[],2)</f>
        <v>0.4375</v>
      </c>
      <c r="G410">
        <f>ROUND((1-RevenueTable[[#This Row],[Discount on Total Revenue]])*RevenueTable[[#This Row],[Total Revenue]],2)</f>
        <v>1794.4</v>
      </c>
    </row>
    <row r="411" spans="1:7" x14ac:dyDescent="0.3">
      <c r="A411" s="46">
        <v>43042</v>
      </c>
      <c r="B411" t="s">
        <v>8</v>
      </c>
      <c r="C411">
        <v>133</v>
      </c>
      <c r="D411" s="59">
        <v>21.95</v>
      </c>
      <c r="E411" s="59">
        <v>2919.35</v>
      </c>
      <c r="F411">
        <f>VLOOKUP(RevenueTable[[#This Row],[Units Sold]],Discounttable[],2)</f>
        <v>0.4375</v>
      </c>
      <c r="G411">
        <f>ROUND((1-RevenueTable[[#This Row],[Discount on Total Revenue]])*RevenueTable[[#This Row],[Total Revenue]],2)</f>
        <v>1642.13</v>
      </c>
    </row>
    <row r="412" spans="1:7" x14ac:dyDescent="0.3">
      <c r="A412" s="46">
        <v>43040</v>
      </c>
      <c r="B412" t="s">
        <v>8</v>
      </c>
      <c r="C412">
        <v>21</v>
      </c>
      <c r="D412" s="59">
        <v>21.95</v>
      </c>
      <c r="E412" s="59">
        <v>460.95</v>
      </c>
      <c r="F412">
        <f>VLOOKUP(RevenueTable[[#This Row],[Units Sold]],Discounttable[],2)</f>
        <v>0.25</v>
      </c>
      <c r="G412">
        <f>ROUND((1-RevenueTable[[#This Row],[Discount on Total Revenue]])*RevenueTable[[#This Row],[Total Revenue]],2)</f>
        <v>345.71</v>
      </c>
    </row>
    <row r="413" spans="1:7" x14ac:dyDescent="0.3">
      <c r="A413" s="46">
        <v>43047</v>
      </c>
      <c r="B413" t="s">
        <v>8</v>
      </c>
      <c r="C413">
        <v>58</v>
      </c>
      <c r="D413" s="59">
        <v>21.95</v>
      </c>
      <c r="E413" s="59">
        <v>1273.0999999999999</v>
      </c>
      <c r="F413">
        <f>VLOOKUP(RevenueTable[[#This Row],[Units Sold]],Discounttable[],2)</f>
        <v>0.375</v>
      </c>
      <c r="G413">
        <f>ROUND((1-RevenueTable[[#This Row],[Discount on Total Revenue]])*RevenueTable[[#This Row],[Total Revenue]],2)</f>
        <v>795.69</v>
      </c>
    </row>
    <row r="414" spans="1:7" x14ac:dyDescent="0.3">
      <c r="A414" s="46">
        <v>43045</v>
      </c>
      <c r="B414" t="s">
        <v>13</v>
      </c>
      <c r="C414">
        <v>81</v>
      </c>
      <c r="D414" s="59">
        <v>14.95</v>
      </c>
      <c r="E414" s="59">
        <v>1210.95</v>
      </c>
      <c r="F414">
        <f>VLOOKUP(RevenueTable[[#This Row],[Units Sold]],Discounttable[],2)</f>
        <v>0.375</v>
      </c>
      <c r="G414">
        <f>ROUND((1-RevenueTable[[#This Row],[Discount on Total Revenue]])*RevenueTable[[#This Row],[Total Revenue]],2)</f>
        <v>756.84</v>
      </c>
    </row>
    <row r="415" spans="1:7" x14ac:dyDescent="0.3">
      <c r="A415" s="46">
        <v>43040</v>
      </c>
      <c r="B415" t="s">
        <v>13</v>
      </c>
      <c r="C415">
        <v>11</v>
      </c>
      <c r="D415" s="59">
        <v>14.95</v>
      </c>
      <c r="E415" s="59">
        <v>164.45</v>
      </c>
      <c r="F415">
        <f>VLOOKUP(RevenueTable[[#This Row],[Units Sold]],Discounttable[],2)</f>
        <v>0</v>
      </c>
      <c r="G415">
        <f>ROUND((1-RevenueTable[[#This Row],[Discount on Total Revenue]])*RevenueTable[[#This Row],[Total Revenue]],2)</f>
        <v>164.45</v>
      </c>
    </row>
    <row r="416" spans="1:7" x14ac:dyDescent="0.3">
      <c r="A416" s="46">
        <v>43045</v>
      </c>
      <c r="B416" t="s">
        <v>5</v>
      </c>
      <c r="C416">
        <v>132</v>
      </c>
      <c r="D416" s="59">
        <v>22.95</v>
      </c>
      <c r="E416" s="59">
        <v>3029.4</v>
      </c>
      <c r="F416">
        <f>VLOOKUP(RevenueTable[[#This Row],[Units Sold]],Discounttable[],2)</f>
        <v>0.4375</v>
      </c>
      <c r="G416">
        <f>ROUND((1-RevenueTable[[#This Row],[Discount on Total Revenue]])*RevenueTable[[#This Row],[Total Revenue]],2)</f>
        <v>1704.04</v>
      </c>
    </row>
    <row r="417" spans="1:7" x14ac:dyDescent="0.3">
      <c r="A417" s="46">
        <v>43043</v>
      </c>
      <c r="B417" t="s">
        <v>13</v>
      </c>
      <c r="C417">
        <v>159</v>
      </c>
      <c r="D417" s="59">
        <v>14.95</v>
      </c>
      <c r="E417" s="59">
        <v>2377.0499999999997</v>
      </c>
      <c r="F417">
        <f>VLOOKUP(RevenueTable[[#This Row],[Units Sold]],Discounttable[],2)</f>
        <v>0.5</v>
      </c>
      <c r="G417">
        <f>ROUND((1-RevenueTable[[#This Row],[Discount on Total Revenue]])*RevenueTable[[#This Row],[Total Revenue]],2)</f>
        <v>1188.53</v>
      </c>
    </row>
    <row r="418" spans="1:7" x14ac:dyDescent="0.3">
      <c r="A418" s="46">
        <v>43042</v>
      </c>
      <c r="B418" t="s">
        <v>13</v>
      </c>
      <c r="C418">
        <v>87</v>
      </c>
      <c r="D418" s="59">
        <v>14.95</v>
      </c>
      <c r="E418" s="59">
        <v>1300.6499999999999</v>
      </c>
      <c r="F418">
        <f>VLOOKUP(RevenueTable[[#This Row],[Units Sold]],Discounttable[],2)</f>
        <v>0.375</v>
      </c>
      <c r="G418">
        <f>ROUND((1-RevenueTable[[#This Row],[Discount on Total Revenue]])*RevenueTable[[#This Row],[Total Revenue]],2)</f>
        <v>812.91</v>
      </c>
    </row>
    <row r="419" spans="1:7" x14ac:dyDescent="0.3">
      <c r="A419" s="46">
        <v>43042</v>
      </c>
      <c r="B419" t="s">
        <v>5</v>
      </c>
      <c r="C419">
        <v>79</v>
      </c>
      <c r="D419" s="59">
        <v>22.95</v>
      </c>
      <c r="E419" s="59">
        <v>1813.05</v>
      </c>
      <c r="F419">
        <f>VLOOKUP(RevenueTable[[#This Row],[Units Sold]],Discounttable[],2)</f>
        <v>0.375</v>
      </c>
      <c r="G419">
        <f>ROUND((1-RevenueTable[[#This Row],[Discount on Total Revenue]])*RevenueTable[[#This Row],[Total Revenue]],2)</f>
        <v>1133.1600000000001</v>
      </c>
    </row>
    <row r="420" spans="1:7" x14ac:dyDescent="0.3">
      <c r="A420" s="46">
        <v>43047</v>
      </c>
      <c r="B420" t="s">
        <v>7</v>
      </c>
      <c r="C420">
        <v>39</v>
      </c>
      <c r="D420" s="59">
        <v>43.95</v>
      </c>
      <c r="E420" s="59">
        <v>1714.0500000000002</v>
      </c>
      <c r="F420">
        <f>VLOOKUP(RevenueTable[[#This Row],[Units Sold]],Discounttable[],2)</f>
        <v>0.25</v>
      </c>
      <c r="G420">
        <f>ROUND((1-RevenueTable[[#This Row],[Discount on Total Revenue]])*RevenueTable[[#This Row],[Total Revenue]],2)</f>
        <v>1285.54</v>
      </c>
    </row>
    <row r="421" spans="1:7" x14ac:dyDescent="0.3">
      <c r="A421" s="46">
        <v>43047</v>
      </c>
      <c r="B421" t="s">
        <v>5</v>
      </c>
      <c r="C421">
        <v>76</v>
      </c>
      <c r="D421" s="59">
        <v>22.95</v>
      </c>
      <c r="E421" s="59">
        <v>1744.2</v>
      </c>
      <c r="F421">
        <f>VLOOKUP(RevenueTable[[#This Row],[Units Sold]],Discounttable[],2)</f>
        <v>0.375</v>
      </c>
      <c r="G421">
        <f>ROUND((1-RevenueTable[[#This Row],[Discount on Total Revenue]])*RevenueTable[[#This Row],[Total Revenue]],2)</f>
        <v>1090.1300000000001</v>
      </c>
    </row>
    <row r="422" spans="1:7" x14ac:dyDescent="0.3">
      <c r="A422" s="46">
        <v>43047</v>
      </c>
      <c r="B422" t="s">
        <v>8</v>
      </c>
      <c r="C422">
        <v>147</v>
      </c>
      <c r="D422" s="59">
        <v>21.95</v>
      </c>
      <c r="E422" s="59">
        <v>3226.65</v>
      </c>
      <c r="F422">
        <f>VLOOKUP(RevenueTable[[#This Row],[Units Sold]],Discounttable[],2)</f>
        <v>0.5</v>
      </c>
      <c r="G422">
        <f>ROUND((1-RevenueTable[[#This Row],[Discount on Total Revenue]])*RevenueTable[[#This Row],[Total Revenue]],2)</f>
        <v>1613.33</v>
      </c>
    </row>
    <row r="423" spans="1:7" x14ac:dyDescent="0.3">
      <c r="A423" s="46">
        <v>43043</v>
      </c>
      <c r="B423" t="s">
        <v>5</v>
      </c>
      <c r="C423">
        <v>80</v>
      </c>
      <c r="D423" s="59">
        <v>22.95</v>
      </c>
      <c r="E423" s="59">
        <v>1836</v>
      </c>
      <c r="F423">
        <f>VLOOKUP(RevenueTable[[#This Row],[Units Sold]],Discounttable[],2)</f>
        <v>0.375</v>
      </c>
      <c r="G423">
        <f>ROUND((1-RevenueTable[[#This Row],[Discount on Total Revenue]])*RevenueTable[[#This Row],[Total Revenue]],2)</f>
        <v>1147.5</v>
      </c>
    </row>
    <row r="424" spans="1:7" x14ac:dyDescent="0.3">
      <c r="A424" s="46">
        <v>43041</v>
      </c>
      <c r="B424" t="s">
        <v>5</v>
      </c>
      <c r="C424">
        <v>4</v>
      </c>
      <c r="D424" s="59">
        <v>22.95</v>
      </c>
      <c r="E424" s="59">
        <v>91.8</v>
      </c>
      <c r="F424">
        <f>VLOOKUP(RevenueTable[[#This Row],[Units Sold]],Discounttable[],2)</f>
        <v>0</v>
      </c>
      <c r="G424">
        <f>ROUND((1-RevenueTable[[#This Row],[Discount on Total Revenue]])*RevenueTable[[#This Row],[Total Revenue]],2)</f>
        <v>91.8</v>
      </c>
    </row>
    <row r="425" spans="1:7" x14ac:dyDescent="0.3">
      <c r="A425" s="46">
        <v>43041</v>
      </c>
      <c r="B425" t="s">
        <v>5</v>
      </c>
      <c r="C425">
        <v>33</v>
      </c>
      <c r="D425" s="59">
        <v>22.95</v>
      </c>
      <c r="E425" s="59">
        <v>757.35</v>
      </c>
      <c r="F425">
        <f>VLOOKUP(RevenueTable[[#This Row],[Units Sold]],Discounttable[],2)</f>
        <v>0.25</v>
      </c>
      <c r="G425">
        <f>ROUND((1-RevenueTable[[#This Row],[Discount on Total Revenue]])*RevenueTable[[#This Row],[Total Revenue]],2)</f>
        <v>568.01</v>
      </c>
    </row>
    <row r="426" spans="1:7" x14ac:dyDescent="0.3">
      <c r="A426" s="46">
        <v>43040</v>
      </c>
      <c r="B426" t="s">
        <v>7</v>
      </c>
      <c r="C426">
        <v>154</v>
      </c>
      <c r="D426" s="59">
        <v>43.95</v>
      </c>
      <c r="E426" s="59">
        <v>6768.3</v>
      </c>
      <c r="F426">
        <f>VLOOKUP(RevenueTable[[#This Row],[Units Sold]],Discounttable[],2)</f>
        <v>0.5</v>
      </c>
      <c r="G426">
        <f>ROUND((1-RevenueTable[[#This Row],[Discount on Total Revenue]])*RevenueTable[[#This Row],[Total Revenue]],2)</f>
        <v>3384.15</v>
      </c>
    </row>
    <row r="427" spans="1:7" x14ac:dyDescent="0.3">
      <c r="A427" s="46">
        <v>43046</v>
      </c>
      <c r="B427" t="s">
        <v>5</v>
      </c>
      <c r="C427">
        <v>124</v>
      </c>
      <c r="D427" s="59">
        <v>22.95</v>
      </c>
      <c r="E427" s="59">
        <v>2845.7999999999997</v>
      </c>
      <c r="F427">
        <f>VLOOKUP(RevenueTable[[#This Row],[Units Sold]],Discounttable[],2)</f>
        <v>0.4375</v>
      </c>
      <c r="G427">
        <f>ROUND((1-RevenueTable[[#This Row],[Discount on Total Revenue]])*RevenueTable[[#This Row],[Total Revenue]],2)</f>
        <v>1600.76</v>
      </c>
    </row>
    <row r="428" spans="1:7" x14ac:dyDescent="0.3">
      <c r="A428" s="46">
        <v>43043</v>
      </c>
      <c r="B428" t="s">
        <v>8</v>
      </c>
      <c r="C428">
        <v>48</v>
      </c>
      <c r="D428" s="59">
        <v>21.95</v>
      </c>
      <c r="E428" s="59">
        <v>1053.5999999999999</v>
      </c>
      <c r="F428">
        <f>VLOOKUP(RevenueTable[[#This Row],[Units Sold]],Discounttable[],2)</f>
        <v>0.375</v>
      </c>
      <c r="G428">
        <f>ROUND((1-RevenueTable[[#This Row],[Discount on Total Revenue]])*RevenueTable[[#This Row],[Total Revenue]],2)</f>
        <v>658.5</v>
      </c>
    </row>
    <row r="429" spans="1:7" x14ac:dyDescent="0.3">
      <c r="A429" s="46">
        <v>43043</v>
      </c>
      <c r="B429" t="s">
        <v>5</v>
      </c>
      <c r="C429">
        <v>146</v>
      </c>
      <c r="D429" s="59">
        <v>22.95</v>
      </c>
      <c r="E429" s="59">
        <v>3350.7</v>
      </c>
      <c r="F429">
        <f>VLOOKUP(RevenueTable[[#This Row],[Units Sold]],Discounttable[],2)</f>
        <v>0.5</v>
      </c>
      <c r="G429">
        <f>ROUND((1-RevenueTable[[#This Row],[Discount on Total Revenue]])*RevenueTable[[#This Row],[Total Revenue]],2)</f>
        <v>1675.35</v>
      </c>
    </row>
    <row r="430" spans="1:7" x14ac:dyDescent="0.3">
      <c r="A430" s="46">
        <v>43041</v>
      </c>
      <c r="B430" t="s">
        <v>5</v>
      </c>
      <c r="C430">
        <v>27</v>
      </c>
      <c r="D430" s="59">
        <v>22.95</v>
      </c>
      <c r="E430" s="59">
        <v>619.65</v>
      </c>
      <c r="F430">
        <f>VLOOKUP(RevenueTable[[#This Row],[Units Sold]],Discounttable[],2)</f>
        <v>0.25</v>
      </c>
      <c r="G430">
        <f>ROUND((1-RevenueTable[[#This Row],[Discount on Total Revenue]])*RevenueTable[[#This Row],[Total Revenue]],2)</f>
        <v>464.74</v>
      </c>
    </row>
    <row r="431" spans="1:7" x14ac:dyDescent="0.3">
      <c r="A431" s="46">
        <v>43045</v>
      </c>
      <c r="B431" t="s">
        <v>8</v>
      </c>
      <c r="C431">
        <v>128</v>
      </c>
      <c r="D431" s="59">
        <v>21.95</v>
      </c>
      <c r="E431" s="59">
        <v>2809.6</v>
      </c>
      <c r="F431">
        <f>VLOOKUP(RevenueTable[[#This Row],[Units Sold]],Discounttable[],2)</f>
        <v>0.4375</v>
      </c>
      <c r="G431">
        <f>ROUND((1-RevenueTable[[#This Row],[Discount on Total Revenue]])*RevenueTable[[#This Row],[Total Revenue]],2)</f>
        <v>1580.4</v>
      </c>
    </row>
    <row r="432" spans="1:7" x14ac:dyDescent="0.3">
      <c r="A432" s="46">
        <v>43043</v>
      </c>
      <c r="B432" t="s">
        <v>13</v>
      </c>
      <c r="C432">
        <v>5</v>
      </c>
      <c r="D432" s="59">
        <v>14.95</v>
      </c>
      <c r="E432" s="59">
        <v>74.75</v>
      </c>
      <c r="F432">
        <f>VLOOKUP(RevenueTable[[#This Row],[Units Sold]],Discounttable[],2)</f>
        <v>0</v>
      </c>
      <c r="G432">
        <f>ROUND((1-RevenueTable[[#This Row],[Discount on Total Revenue]])*RevenueTable[[#This Row],[Total Revenue]],2)</f>
        <v>74.75</v>
      </c>
    </row>
    <row r="433" spans="1:7" x14ac:dyDescent="0.3">
      <c r="A433" s="46">
        <v>43042</v>
      </c>
      <c r="B433" t="s">
        <v>7</v>
      </c>
      <c r="C433">
        <v>161</v>
      </c>
      <c r="D433" s="59">
        <v>43.95</v>
      </c>
      <c r="E433" s="59">
        <v>7075.9500000000007</v>
      </c>
      <c r="F433">
        <f>VLOOKUP(RevenueTable[[#This Row],[Units Sold]],Discounttable[],2)</f>
        <v>0.5</v>
      </c>
      <c r="G433">
        <f>ROUND((1-RevenueTable[[#This Row],[Discount on Total Revenue]])*RevenueTable[[#This Row],[Total Revenue]],2)</f>
        <v>3537.98</v>
      </c>
    </row>
    <row r="434" spans="1:7" x14ac:dyDescent="0.3">
      <c r="A434" s="46">
        <v>43042</v>
      </c>
      <c r="B434" t="s">
        <v>7</v>
      </c>
      <c r="C434">
        <v>121</v>
      </c>
      <c r="D434" s="59">
        <v>43.95</v>
      </c>
      <c r="E434" s="59">
        <v>5317.9500000000007</v>
      </c>
      <c r="F434">
        <f>VLOOKUP(RevenueTable[[#This Row],[Units Sold]],Discounttable[],2)</f>
        <v>0.4375</v>
      </c>
      <c r="G434">
        <f>ROUND((1-RevenueTable[[#This Row],[Discount on Total Revenue]])*RevenueTable[[#This Row],[Total Revenue]],2)</f>
        <v>2991.35</v>
      </c>
    </row>
    <row r="435" spans="1:7" x14ac:dyDescent="0.3">
      <c r="A435" s="46">
        <v>43043</v>
      </c>
      <c r="B435" t="s">
        <v>5</v>
      </c>
      <c r="C435">
        <v>100</v>
      </c>
      <c r="D435" s="59">
        <v>22.95</v>
      </c>
      <c r="E435" s="59">
        <v>2295</v>
      </c>
      <c r="F435">
        <f>VLOOKUP(RevenueTable[[#This Row],[Units Sold]],Discounttable[],2)</f>
        <v>0.4375</v>
      </c>
      <c r="G435">
        <f>ROUND((1-RevenueTable[[#This Row],[Discount on Total Revenue]])*RevenueTable[[#This Row],[Total Revenue]],2)</f>
        <v>1290.94</v>
      </c>
    </row>
    <row r="436" spans="1:7" x14ac:dyDescent="0.3">
      <c r="A436" s="46">
        <v>43044</v>
      </c>
      <c r="B436" t="s">
        <v>5</v>
      </c>
      <c r="C436">
        <v>149</v>
      </c>
      <c r="D436" s="59">
        <v>22.95</v>
      </c>
      <c r="E436" s="59">
        <v>3419.5499999999997</v>
      </c>
      <c r="F436">
        <f>VLOOKUP(RevenueTable[[#This Row],[Units Sold]],Discounttable[],2)</f>
        <v>0.5</v>
      </c>
      <c r="G436">
        <f>ROUND((1-RevenueTable[[#This Row],[Discount on Total Revenue]])*RevenueTable[[#This Row],[Total Revenue]],2)</f>
        <v>1709.78</v>
      </c>
    </row>
    <row r="437" spans="1:7" x14ac:dyDescent="0.3">
      <c r="A437" s="46">
        <v>43045</v>
      </c>
      <c r="B437" t="s">
        <v>8</v>
      </c>
      <c r="C437">
        <v>42</v>
      </c>
      <c r="D437" s="59">
        <v>21.95</v>
      </c>
      <c r="E437" s="59">
        <v>921.9</v>
      </c>
      <c r="F437">
        <f>VLOOKUP(RevenueTable[[#This Row],[Units Sold]],Discounttable[],2)</f>
        <v>0.25</v>
      </c>
      <c r="G437">
        <f>ROUND((1-RevenueTable[[#This Row],[Discount on Total Revenue]])*RevenueTable[[#This Row],[Total Revenue]],2)</f>
        <v>691.43</v>
      </c>
    </row>
    <row r="438" spans="1:7" x14ac:dyDescent="0.3">
      <c r="A438" s="46">
        <v>43040</v>
      </c>
      <c r="B438" t="s">
        <v>8</v>
      </c>
      <c r="C438">
        <v>28</v>
      </c>
      <c r="D438" s="59">
        <v>21.95</v>
      </c>
      <c r="E438" s="59">
        <v>614.6</v>
      </c>
      <c r="F438">
        <f>VLOOKUP(RevenueTable[[#This Row],[Units Sold]],Discounttable[],2)</f>
        <v>0.25</v>
      </c>
      <c r="G438">
        <f>ROUND((1-RevenueTable[[#This Row],[Discount on Total Revenue]])*RevenueTable[[#This Row],[Total Revenue]],2)</f>
        <v>460.95</v>
      </c>
    </row>
    <row r="439" spans="1:7" x14ac:dyDescent="0.3">
      <c r="A439" s="46">
        <v>43044</v>
      </c>
      <c r="B439" t="s">
        <v>8</v>
      </c>
      <c r="C439">
        <v>114</v>
      </c>
      <c r="D439" s="59">
        <v>21.95</v>
      </c>
      <c r="E439" s="59">
        <v>2502.2999999999997</v>
      </c>
      <c r="F439">
        <f>VLOOKUP(RevenueTable[[#This Row],[Units Sold]],Discounttable[],2)</f>
        <v>0.4375</v>
      </c>
      <c r="G439">
        <f>ROUND((1-RevenueTable[[#This Row],[Discount on Total Revenue]])*RevenueTable[[#This Row],[Total Revenue]],2)</f>
        <v>1407.54</v>
      </c>
    </row>
    <row r="440" spans="1:7" x14ac:dyDescent="0.3">
      <c r="A440" s="46">
        <v>43040</v>
      </c>
      <c r="B440" t="s">
        <v>13</v>
      </c>
      <c r="C440">
        <v>14</v>
      </c>
      <c r="D440" s="59">
        <v>14.95</v>
      </c>
      <c r="E440" s="59">
        <v>209.29999999999998</v>
      </c>
      <c r="F440">
        <f>VLOOKUP(RevenueTable[[#This Row],[Units Sold]],Discounttable[],2)</f>
        <v>0.25</v>
      </c>
      <c r="G440">
        <f>ROUND((1-RevenueTable[[#This Row],[Discount on Total Revenue]])*RevenueTable[[#This Row],[Total Revenue]],2)</f>
        <v>156.97999999999999</v>
      </c>
    </row>
    <row r="441" spans="1:7" x14ac:dyDescent="0.3">
      <c r="A441" s="46">
        <v>43045</v>
      </c>
      <c r="B441" t="s">
        <v>13</v>
      </c>
      <c r="C441">
        <v>160</v>
      </c>
      <c r="D441" s="59">
        <v>14.95</v>
      </c>
      <c r="E441" s="59">
        <v>2392</v>
      </c>
      <c r="F441">
        <f>VLOOKUP(RevenueTable[[#This Row],[Units Sold]],Discounttable[],2)</f>
        <v>0.5</v>
      </c>
      <c r="G441">
        <f>ROUND((1-RevenueTable[[#This Row],[Discount on Total Revenue]])*RevenueTable[[#This Row],[Total Revenue]],2)</f>
        <v>1196</v>
      </c>
    </row>
    <row r="442" spans="1:7" x14ac:dyDescent="0.3">
      <c r="A442" s="46">
        <v>43042</v>
      </c>
      <c r="B442" t="s">
        <v>5</v>
      </c>
      <c r="C442">
        <v>14</v>
      </c>
      <c r="D442" s="59">
        <v>22.95</v>
      </c>
      <c r="E442" s="59">
        <v>321.3</v>
      </c>
      <c r="F442">
        <f>VLOOKUP(RevenueTable[[#This Row],[Units Sold]],Discounttable[],2)</f>
        <v>0.25</v>
      </c>
      <c r="G442">
        <f>ROUND((1-RevenueTable[[#This Row],[Discount on Total Revenue]])*RevenueTable[[#This Row],[Total Revenue]],2)</f>
        <v>240.98</v>
      </c>
    </row>
    <row r="443" spans="1:7" x14ac:dyDescent="0.3">
      <c r="A443" s="46">
        <v>43040</v>
      </c>
      <c r="B443" t="s">
        <v>13</v>
      </c>
      <c r="C443">
        <v>12</v>
      </c>
      <c r="D443" s="59">
        <v>14.95</v>
      </c>
      <c r="E443" s="59">
        <v>179.39999999999998</v>
      </c>
      <c r="F443">
        <f>VLOOKUP(RevenueTable[[#This Row],[Units Sold]],Discounttable[],2)</f>
        <v>0.25</v>
      </c>
      <c r="G443">
        <f>ROUND((1-RevenueTable[[#This Row],[Discount on Total Revenue]])*RevenueTable[[#This Row],[Total Revenue]],2)</f>
        <v>134.55000000000001</v>
      </c>
    </row>
    <row r="444" spans="1:7" x14ac:dyDescent="0.3">
      <c r="A444" s="46">
        <v>43043</v>
      </c>
      <c r="B444" t="s">
        <v>8</v>
      </c>
      <c r="C444">
        <v>20</v>
      </c>
      <c r="D444" s="59">
        <v>21.95</v>
      </c>
      <c r="E444" s="59">
        <v>439</v>
      </c>
      <c r="F444">
        <f>VLOOKUP(RevenueTable[[#This Row],[Units Sold]],Discounttable[],2)</f>
        <v>0.25</v>
      </c>
      <c r="G444">
        <f>ROUND((1-RevenueTable[[#This Row],[Discount on Total Revenue]])*RevenueTable[[#This Row],[Total Revenue]],2)</f>
        <v>329.25</v>
      </c>
    </row>
    <row r="445" spans="1:7" x14ac:dyDescent="0.3">
      <c r="A445" s="46">
        <v>43040</v>
      </c>
      <c r="B445" t="s">
        <v>8</v>
      </c>
      <c r="C445">
        <v>76</v>
      </c>
      <c r="D445" s="59">
        <v>21.95</v>
      </c>
      <c r="E445" s="59">
        <v>1668.2</v>
      </c>
      <c r="F445">
        <f>VLOOKUP(RevenueTable[[#This Row],[Units Sold]],Discounttable[],2)</f>
        <v>0.375</v>
      </c>
      <c r="G445">
        <f>ROUND((1-RevenueTable[[#This Row],[Discount on Total Revenue]])*RevenueTable[[#This Row],[Total Revenue]],2)</f>
        <v>1042.6300000000001</v>
      </c>
    </row>
    <row r="446" spans="1:7" x14ac:dyDescent="0.3">
      <c r="A446" s="46">
        <v>43047</v>
      </c>
      <c r="B446" t="s">
        <v>13</v>
      </c>
      <c r="C446">
        <v>112</v>
      </c>
      <c r="D446" s="59">
        <v>14.95</v>
      </c>
      <c r="E446" s="59">
        <v>1674.3999999999999</v>
      </c>
      <c r="F446">
        <f>VLOOKUP(RevenueTable[[#This Row],[Units Sold]],Discounttable[],2)</f>
        <v>0.4375</v>
      </c>
      <c r="G446">
        <f>ROUND((1-RevenueTable[[#This Row],[Discount on Total Revenue]])*RevenueTable[[#This Row],[Total Revenue]],2)</f>
        <v>941.85</v>
      </c>
    </row>
    <row r="447" spans="1:7" x14ac:dyDescent="0.3">
      <c r="A447" s="46">
        <v>43041</v>
      </c>
      <c r="B447" t="s">
        <v>5</v>
      </c>
      <c r="C447">
        <v>113</v>
      </c>
      <c r="D447" s="59">
        <v>22.95</v>
      </c>
      <c r="E447" s="59">
        <v>2593.35</v>
      </c>
      <c r="F447">
        <f>VLOOKUP(RevenueTable[[#This Row],[Units Sold]],Discounttable[],2)</f>
        <v>0.4375</v>
      </c>
      <c r="G447">
        <f>ROUND((1-RevenueTable[[#This Row],[Discount on Total Revenue]])*RevenueTable[[#This Row],[Total Revenue]],2)</f>
        <v>1458.76</v>
      </c>
    </row>
    <row r="448" spans="1:7" x14ac:dyDescent="0.3">
      <c r="A448" s="46">
        <v>43040</v>
      </c>
      <c r="B448" t="s">
        <v>5</v>
      </c>
      <c r="C448">
        <v>76</v>
      </c>
      <c r="D448" s="59">
        <v>22.95</v>
      </c>
      <c r="E448" s="59">
        <v>1744.2</v>
      </c>
      <c r="F448">
        <f>VLOOKUP(RevenueTable[[#This Row],[Units Sold]],Discounttable[],2)</f>
        <v>0.375</v>
      </c>
      <c r="G448">
        <f>ROUND((1-RevenueTable[[#This Row],[Discount on Total Revenue]])*RevenueTable[[#This Row],[Total Revenue]],2)</f>
        <v>1090.1300000000001</v>
      </c>
    </row>
    <row r="449" spans="1:7" x14ac:dyDescent="0.3">
      <c r="A449" s="46">
        <v>43047</v>
      </c>
      <c r="B449" t="s">
        <v>7</v>
      </c>
      <c r="C449">
        <v>163</v>
      </c>
      <c r="D449" s="59">
        <v>43.95</v>
      </c>
      <c r="E449" s="59">
        <v>7163.85</v>
      </c>
      <c r="F449">
        <f>VLOOKUP(RevenueTable[[#This Row],[Units Sold]],Discounttable[],2)</f>
        <v>0.5</v>
      </c>
      <c r="G449">
        <f>ROUND((1-RevenueTable[[#This Row],[Discount on Total Revenue]])*RevenueTable[[#This Row],[Total Revenue]],2)</f>
        <v>3581.93</v>
      </c>
    </row>
    <row r="450" spans="1:7" x14ac:dyDescent="0.3">
      <c r="A450" s="46">
        <v>43041</v>
      </c>
      <c r="B450" t="s">
        <v>7</v>
      </c>
      <c r="C450">
        <v>76</v>
      </c>
      <c r="D450" s="59">
        <v>43.95</v>
      </c>
      <c r="E450" s="59">
        <v>3340.2000000000003</v>
      </c>
      <c r="F450">
        <f>VLOOKUP(RevenueTable[[#This Row],[Units Sold]],Discounttable[],2)</f>
        <v>0.375</v>
      </c>
      <c r="G450">
        <f>ROUND((1-RevenueTable[[#This Row],[Discount on Total Revenue]])*RevenueTable[[#This Row],[Total Revenue]],2)</f>
        <v>2087.63</v>
      </c>
    </row>
    <row r="451" spans="1:7" x14ac:dyDescent="0.3">
      <c r="A451" s="46">
        <v>43047</v>
      </c>
      <c r="B451" t="s">
        <v>7</v>
      </c>
      <c r="C451">
        <v>177</v>
      </c>
      <c r="D451" s="59">
        <v>43.95</v>
      </c>
      <c r="E451" s="59">
        <v>7779.1500000000005</v>
      </c>
      <c r="F451">
        <f>VLOOKUP(RevenueTable[[#This Row],[Units Sold]],Discounttable[],2)</f>
        <v>0.55000000000000004</v>
      </c>
      <c r="G451">
        <f>ROUND((1-RevenueTable[[#This Row],[Discount on Total Revenue]])*RevenueTable[[#This Row],[Total Revenue]],2)</f>
        <v>3500.62</v>
      </c>
    </row>
    <row r="452" spans="1:7" x14ac:dyDescent="0.3">
      <c r="A452" s="46">
        <v>43040</v>
      </c>
      <c r="B452" t="s">
        <v>8</v>
      </c>
      <c r="C452">
        <v>41</v>
      </c>
      <c r="D452" s="59">
        <v>21.95</v>
      </c>
      <c r="E452" s="59">
        <v>899.94999999999993</v>
      </c>
      <c r="F452">
        <f>VLOOKUP(RevenueTable[[#This Row],[Units Sold]],Discounttable[],2)</f>
        <v>0.25</v>
      </c>
      <c r="G452">
        <f>ROUND((1-RevenueTable[[#This Row],[Discount on Total Revenue]])*RevenueTable[[#This Row],[Total Revenue]],2)</f>
        <v>674.96</v>
      </c>
    </row>
    <row r="453" spans="1:7" x14ac:dyDescent="0.3">
      <c r="A453" s="46">
        <v>43045</v>
      </c>
      <c r="B453" t="s">
        <v>5</v>
      </c>
      <c r="C453">
        <v>42</v>
      </c>
      <c r="D453" s="59">
        <v>22.95</v>
      </c>
      <c r="E453" s="59">
        <v>963.9</v>
      </c>
      <c r="F453">
        <f>VLOOKUP(RevenueTable[[#This Row],[Units Sold]],Discounttable[],2)</f>
        <v>0.25</v>
      </c>
      <c r="G453">
        <f>ROUND((1-RevenueTable[[#This Row],[Discount on Total Revenue]])*RevenueTable[[#This Row],[Total Revenue]],2)</f>
        <v>722.93</v>
      </c>
    </row>
    <row r="454" spans="1:7" x14ac:dyDescent="0.3">
      <c r="A454" s="46">
        <v>43047</v>
      </c>
      <c r="B454" t="s">
        <v>7</v>
      </c>
      <c r="C454">
        <v>152</v>
      </c>
      <c r="D454" s="59">
        <v>43.95</v>
      </c>
      <c r="E454" s="59">
        <v>6680.4000000000005</v>
      </c>
      <c r="F454">
        <f>VLOOKUP(RevenueTable[[#This Row],[Units Sold]],Discounttable[],2)</f>
        <v>0.5</v>
      </c>
      <c r="G454">
        <f>ROUND((1-RevenueTable[[#This Row],[Discount on Total Revenue]])*RevenueTable[[#This Row],[Total Revenue]],2)</f>
        <v>3340.2</v>
      </c>
    </row>
    <row r="455" spans="1:7" x14ac:dyDescent="0.3">
      <c r="A455" s="46">
        <v>43043</v>
      </c>
      <c r="B455" t="s">
        <v>8</v>
      </c>
      <c r="C455">
        <v>90</v>
      </c>
      <c r="D455" s="59">
        <v>21.95</v>
      </c>
      <c r="E455" s="59">
        <v>1975.5</v>
      </c>
      <c r="F455">
        <f>VLOOKUP(RevenueTable[[#This Row],[Units Sold]],Discounttable[],2)</f>
        <v>0.375</v>
      </c>
      <c r="G455">
        <f>ROUND((1-RevenueTable[[#This Row],[Discount on Total Revenue]])*RevenueTable[[#This Row],[Total Revenue]],2)</f>
        <v>1234.69</v>
      </c>
    </row>
    <row r="456" spans="1:7" x14ac:dyDescent="0.3">
      <c r="A456" s="46">
        <v>43047</v>
      </c>
      <c r="B456" t="s">
        <v>13</v>
      </c>
      <c r="C456">
        <v>103</v>
      </c>
      <c r="D456" s="59">
        <v>14.95</v>
      </c>
      <c r="E456" s="59">
        <v>1539.85</v>
      </c>
      <c r="F456">
        <f>VLOOKUP(RevenueTable[[#This Row],[Units Sold]],Discounttable[],2)</f>
        <v>0.4375</v>
      </c>
      <c r="G456">
        <f>ROUND((1-RevenueTable[[#This Row],[Discount on Total Revenue]])*RevenueTable[[#This Row],[Total Revenue]],2)</f>
        <v>866.17</v>
      </c>
    </row>
    <row r="457" spans="1:7" x14ac:dyDescent="0.3">
      <c r="A457" s="46">
        <v>43044</v>
      </c>
      <c r="B457" t="s">
        <v>7</v>
      </c>
      <c r="C457">
        <v>18</v>
      </c>
      <c r="D457" s="59">
        <v>43.95</v>
      </c>
      <c r="E457" s="59">
        <v>791.1</v>
      </c>
      <c r="F457">
        <f>VLOOKUP(RevenueTable[[#This Row],[Units Sold]],Discounttable[],2)</f>
        <v>0.25</v>
      </c>
      <c r="G457">
        <f>ROUND((1-RevenueTable[[#This Row],[Discount on Total Revenue]])*RevenueTable[[#This Row],[Total Revenue]],2)</f>
        <v>593.33000000000004</v>
      </c>
    </row>
    <row r="458" spans="1:7" x14ac:dyDescent="0.3">
      <c r="A458" s="46">
        <v>43040</v>
      </c>
      <c r="B458" t="s">
        <v>5</v>
      </c>
      <c r="C458">
        <v>185</v>
      </c>
      <c r="D458" s="59">
        <v>22.95</v>
      </c>
      <c r="E458" s="59">
        <v>4245.75</v>
      </c>
      <c r="F458">
        <f>VLOOKUP(RevenueTable[[#This Row],[Units Sold]],Discounttable[],2)</f>
        <v>0.55000000000000004</v>
      </c>
      <c r="G458">
        <f>ROUND((1-RevenueTable[[#This Row],[Discount on Total Revenue]])*RevenueTable[[#This Row],[Total Revenue]],2)</f>
        <v>1910.59</v>
      </c>
    </row>
    <row r="459" spans="1:7" x14ac:dyDescent="0.3">
      <c r="A459" s="46">
        <v>43040</v>
      </c>
      <c r="B459" t="s">
        <v>13</v>
      </c>
      <c r="C459">
        <v>29</v>
      </c>
      <c r="D459" s="59">
        <v>14.95</v>
      </c>
      <c r="E459" s="59">
        <v>433.54999999999995</v>
      </c>
      <c r="F459">
        <f>VLOOKUP(RevenueTable[[#This Row],[Units Sold]],Discounttable[],2)</f>
        <v>0.25</v>
      </c>
      <c r="G459">
        <f>ROUND((1-RevenueTable[[#This Row],[Discount on Total Revenue]])*RevenueTable[[#This Row],[Total Revenue]],2)</f>
        <v>325.16000000000003</v>
      </c>
    </row>
    <row r="460" spans="1:7" x14ac:dyDescent="0.3">
      <c r="A460" s="46">
        <v>43046</v>
      </c>
      <c r="B460" t="s">
        <v>5</v>
      </c>
      <c r="C460">
        <v>140</v>
      </c>
      <c r="D460" s="59">
        <v>22.95</v>
      </c>
      <c r="E460" s="59">
        <v>3213</v>
      </c>
      <c r="F460">
        <f>VLOOKUP(RevenueTable[[#This Row],[Units Sold]],Discounttable[],2)</f>
        <v>0.4375</v>
      </c>
      <c r="G460">
        <f>ROUND((1-RevenueTable[[#This Row],[Discount on Total Revenue]])*RevenueTable[[#This Row],[Total Revenue]],2)</f>
        <v>1807.31</v>
      </c>
    </row>
    <row r="461" spans="1:7" x14ac:dyDescent="0.3">
      <c r="A461" s="46">
        <v>43040</v>
      </c>
      <c r="B461" t="s">
        <v>7</v>
      </c>
      <c r="C461">
        <v>177</v>
      </c>
      <c r="D461" s="59">
        <v>43.95</v>
      </c>
      <c r="E461" s="59">
        <v>7779.1500000000005</v>
      </c>
      <c r="F461">
        <f>VLOOKUP(RevenueTable[[#This Row],[Units Sold]],Discounttable[],2)</f>
        <v>0.55000000000000004</v>
      </c>
      <c r="G461">
        <f>ROUND((1-RevenueTable[[#This Row],[Discount on Total Revenue]])*RevenueTable[[#This Row],[Total Revenue]],2)</f>
        <v>3500.62</v>
      </c>
    </row>
    <row r="462" spans="1:7" x14ac:dyDescent="0.3">
      <c r="A462" s="46">
        <v>43043</v>
      </c>
      <c r="B462" t="s">
        <v>13</v>
      </c>
      <c r="C462">
        <v>74</v>
      </c>
      <c r="D462" s="59">
        <v>14.95</v>
      </c>
      <c r="E462" s="59">
        <v>1106.3</v>
      </c>
      <c r="F462">
        <f>VLOOKUP(RevenueTable[[#This Row],[Units Sold]],Discounttable[],2)</f>
        <v>0.375</v>
      </c>
      <c r="G462">
        <f>ROUND((1-RevenueTable[[#This Row],[Discount on Total Revenue]])*RevenueTable[[#This Row],[Total Revenue]],2)</f>
        <v>691.44</v>
      </c>
    </row>
    <row r="463" spans="1:7" x14ac:dyDescent="0.3">
      <c r="A463" s="46">
        <v>43040</v>
      </c>
      <c r="B463" t="s">
        <v>5</v>
      </c>
      <c r="C463">
        <v>111</v>
      </c>
      <c r="D463" s="59">
        <v>22.95</v>
      </c>
      <c r="E463" s="59">
        <v>2547.4499999999998</v>
      </c>
      <c r="F463">
        <f>VLOOKUP(RevenueTable[[#This Row],[Units Sold]],Discounttable[],2)</f>
        <v>0.4375</v>
      </c>
      <c r="G463">
        <f>ROUND((1-RevenueTable[[#This Row],[Discount on Total Revenue]])*RevenueTable[[#This Row],[Total Revenue]],2)</f>
        <v>1432.94</v>
      </c>
    </row>
    <row r="464" spans="1:7" x14ac:dyDescent="0.3">
      <c r="A464" s="46">
        <v>43047</v>
      </c>
      <c r="B464" t="s">
        <v>5</v>
      </c>
      <c r="C464">
        <v>11</v>
      </c>
      <c r="D464" s="59">
        <v>22.95</v>
      </c>
      <c r="E464" s="59">
        <v>252.45</v>
      </c>
      <c r="F464">
        <f>VLOOKUP(RevenueTable[[#This Row],[Units Sold]],Discounttable[],2)</f>
        <v>0</v>
      </c>
      <c r="G464">
        <f>ROUND((1-RevenueTable[[#This Row],[Discount on Total Revenue]])*RevenueTable[[#This Row],[Total Revenue]],2)</f>
        <v>252.45</v>
      </c>
    </row>
    <row r="465" spans="1:7" x14ac:dyDescent="0.3">
      <c r="A465" s="46">
        <v>43040</v>
      </c>
      <c r="B465" t="s">
        <v>13</v>
      </c>
      <c r="C465">
        <v>28</v>
      </c>
      <c r="D465" s="59">
        <v>14.95</v>
      </c>
      <c r="E465" s="59">
        <v>418.59999999999997</v>
      </c>
      <c r="F465">
        <f>VLOOKUP(RevenueTable[[#This Row],[Units Sold]],Discounttable[],2)</f>
        <v>0.25</v>
      </c>
      <c r="G465">
        <f>ROUND((1-RevenueTable[[#This Row],[Discount on Total Revenue]])*RevenueTable[[#This Row],[Total Revenue]],2)</f>
        <v>313.95</v>
      </c>
    </row>
    <row r="466" spans="1:7" x14ac:dyDescent="0.3">
      <c r="A466" s="46">
        <v>43040</v>
      </c>
      <c r="B466" t="s">
        <v>7</v>
      </c>
      <c r="C466">
        <v>80</v>
      </c>
      <c r="D466" s="59">
        <v>43.95</v>
      </c>
      <c r="E466" s="59">
        <v>3516</v>
      </c>
      <c r="F466">
        <f>VLOOKUP(RevenueTable[[#This Row],[Units Sold]],Discounttable[],2)</f>
        <v>0.375</v>
      </c>
      <c r="G466">
        <f>ROUND((1-RevenueTable[[#This Row],[Discount on Total Revenue]])*RevenueTable[[#This Row],[Total Revenue]],2)</f>
        <v>2197.5</v>
      </c>
    </row>
    <row r="467" spans="1:7" x14ac:dyDescent="0.3">
      <c r="A467" s="46">
        <v>43040</v>
      </c>
      <c r="B467" t="s">
        <v>5</v>
      </c>
      <c r="C467">
        <v>18</v>
      </c>
      <c r="D467" s="59">
        <v>22.95</v>
      </c>
      <c r="E467" s="59">
        <v>413.09999999999997</v>
      </c>
      <c r="F467">
        <f>VLOOKUP(RevenueTable[[#This Row],[Units Sold]],Discounttable[],2)</f>
        <v>0.25</v>
      </c>
      <c r="G467">
        <f>ROUND((1-RevenueTable[[#This Row],[Discount on Total Revenue]])*RevenueTable[[#This Row],[Total Revenue]],2)</f>
        <v>309.83</v>
      </c>
    </row>
    <row r="468" spans="1:7" x14ac:dyDescent="0.3">
      <c r="A468" s="46">
        <v>43046</v>
      </c>
      <c r="B468" t="s">
        <v>7</v>
      </c>
      <c r="C468">
        <v>28</v>
      </c>
      <c r="D468" s="59">
        <v>43.95</v>
      </c>
      <c r="E468" s="59">
        <v>1230.6000000000001</v>
      </c>
      <c r="F468">
        <f>VLOOKUP(RevenueTable[[#This Row],[Units Sold]],Discounttable[],2)</f>
        <v>0.25</v>
      </c>
      <c r="G468">
        <f>ROUND((1-RevenueTable[[#This Row],[Discount on Total Revenue]])*RevenueTable[[#This Row],[Total Revenue]],2)</f>
        <v>922.95</v>
      </c>
    </row>
    <row r="469" spans="1:7" x14ac:dyDescent="0.3">
      <c r="A469" s="46">
        <v>43043</v>
      </c>
      <c r="B469" t="s">
        <v>8</v>
      </c>
      <c r="C469">
        <v>117</v>
      </c>
      <c r="D469" s="59">
        <v>21.95</v>
      </c>
      <c r="E469" s="59">
        <v>2568.15</v>
      </c>
      <c r="F469">
        <f>VLOOKUP(RevenueTable[[#This Row],[Units Sold]],Discounttable[],2)</f>
        <v>0.4375</v>
      </c>
      <c r="G469">
        <f>ROUND((1-RevenueTable[[#This Row],[Discount on Total Revenue]])*RevenueTable[[#This Row],[Total Revenue]],2)</f>
        <v>1444.58</v>
      </c>
    </row>
    <row r="470" spans="1:7" x14ac:dyDescent="0.3">
      <c r="A470" s="46">
        <v>43046</v>
      </c>
      <c r="B470" t="s">
        <v>5</v>
      </c>
      <c r="C470">
        <v>145</v>
      </c>
      <c r="D470" s="59">
        <v>22.95</v>
      </c>
      <c r="E470" s="59">
        <v>3327.75</v>
      </c>
      <c r="F470">
        <f>VLOOKUP(RevenueTable[[#This Row],[Units Sold]],Discounttable[],2)</f>
        <v>0.5</v>
      </c>
      <c r="G470">
        <f>ROUND((1-RevenueTable[[#This Row],[Discount on Total Revenue]])*RevenueTable[[#This Row],[Total Revenue]],2)</f>
        <v>1663.88</v>
      </c>
    </row>
    <row r="471" spans="1:7" x14ac:dyDescent="0.3">
      <c r="A471" s="46">
        <v>43040</v>
      </c>
      <c r="B471" t="s">
        <v>5</v>
      </c>
      <c r="C471">
        <v>79</v>
      </c>
      <c r="D471" s="59">
        <v>22.95</v>
      </c>
      <c r="E471" s="59">
        <v>1813.05</v>
      </c>
      <c r="F471">
        <f>VLOOKUP(RevenueTable[[#This Row],[Units Sold]],Discounttable[],2)</f>
        <v>0.375</v>
      </c>
      <c r="G471">
        <f>ROUND((1-RevenueTable[[#This Row],[Discount on Total Revenue]])*RevenueTable[[#This Row],[Total Revenue]],2)</f>
        <v>1133.1600000000001</v>
      </c>
    </row>
    <row r="472" spans="1:7" x14ac:dyDescent="0.3">
      <c r="A472" s="46">
        <v>43040</v>
      </c>
      <c r="B472" t="s">
        <v>5</v>
      </c>
      <c r="C472">
        <v>99</v>
      </c>
      <c r="D472" s="59">
        <v>22.95</v>
      </c>
      <c r="E472" s="59">
        <v>2272.0499999999997</v>
      </c>
      <c r="F472">
        <f>VLOOKUP(RevenueTable[[#This Row],[Units Sold]],Discounttable[],2)</f>
        <v>0.4375</v>
      </c>
      <c r="G472">
        <f>ROUND((1-RevenueTable[[#This Row],[Discount on Total Revenue]])*RevenueTable[[#This Row],[Total Revenue]],2)</f>
        <v>1278.03</v>
      </c>
    </row>
    <row r="473" spans="1:7" x14ac:dyDescent="0.3">
      <c r="A473" s="46">
        <v>43044</v>
      </c>
      <c r="B473" t="s">
        <v>8</v>
      </c>
      <c r="C473">
        <v>22</v>
      </c>
      <c r="D473" s="59">
        <v>21.95</v>
      </c>
      <c r="E473" s="59">
        <v>482.9</v>
      </c>
      <c r="F473">
        <f>VLOOKUP(RevenueTable[[#This Row],[Units Sold]],Discounttable[],2)</f>
        <v>0.25</v>
      </c>
      <c r="G473">
        <f>ROUND((1-RevenueTable[[#This Row],[Discount on Total Revenue]])*RevenueTable[[#This Row],[Total Revenue]],2)</f>
        <v>362.18</v>
      </c>
    </row>
    <row r="474" spans="1:7" x14ac:dyDescent="0.3">
      <c r="A474" s="46">
        <v>43047</v>
      </c>
      <c r="B474" t="s">
        <v>8</v>
      </c>
      <c r="C474">
        <v>63</v>
      </c>
      <c r="D474" s="59">
        <v>21.95</v>
      </c>
      <c r="E474" s="59">
        <v>1382.85</v>
      </c>
      <c r="F474">
        <f>VLOOKUP(RevenueTable[[#This Row],[Units Sold]],Discounttable[],2)</f>
        <v>0.375</v>
      </c>
      <c r="G474">
        <f>ROUND((1-RevenueTable[[#This Row],[Discount on Total Revenue]])*RevenueTable[[#This Row],[Total Revenue]],2)</f>
        <v>864.28</v>
      </c>
    </row>
    <row r="475" spans="1:7" x14ac:dyDescent="0.3">
      <c r="A475" s="46">
        <v>43040</v>
      </c>
      <c r="B475" t="s">
        <v>13</v>
      </c>
      <c r="C475">
        <v>123</v>
      </c>
      <c r="D475" s="59">
        <v>14.95</v>
      </c>
      <c r="E475" s="59">
        <v>1838.85</v>
      </c>
      <c r="F475">
        <f>VLOOKUP(RevenueTable[[#This Row],[Units Sold]],Discounttable[],2)</f>
        <v>0.4375</v>
      </c>
      <c r="G475">
        <f>ROUND((1-RevenueTable[[#This Row],[Discount on Total Revenue]])*RevenueTable[[#This Row],[Total Revenue]],2)</f>
        <v>1034.3499999999999</v>
      </c>
    </row>
    <row r="476" spans="1:7" x14ac:dyDescent="0.3">
      <c r="A476" s="46">
        <v>43046</v>
      </c>
      <c r="B476" t="s">
        <v>13</v>
      </c>
      <c r="C476">
        <v>48</v>
      </c>
      <c r="D476" s="59">
        <v>14.95</v>
      </c>
      <c r="E476" s="59">
        <v>717.59999999999991</v>
      </c>
      <c r="F476">
        <f>VLOOKUP(RevenueTable[[#This Row],[Units Sold]],Discounttable[],2)</f>
        <v>0.375</v>
      </c>
      <c r="G476">
        <f>ROUND((1-RevenueTable[[#This Row],[Discount on Total Revenue]])*RevenueTable[[#This Row],[Total Revenue]],2)</f>
        <v>448.5</v>
      </c>
    </row>
    <row r="477" spans="1:7" x14ac:dyDescent="0.3">
      <c r="A477" s="46">
        <v>43040</v>
      </c>
      <c r="B477" t="s">
        <v>5</v>
      </c>
      <c r="C477">
        <v>147</v>
      </c>
      <c r="D477" s="59">
        <v>22.95</v>
      </c>
      <c r="E477" s="59">
        <v>3373.65</v>
      </c>
      <c r="F477">
        <f>VLOOKUP(RevenueTable[[#This Row],[Units Sold]],Discounttable[],2)</f>
        <v>0.5</v>
      </c>
      <c r="G477">
        <f>ROUND((1-RevenueTable[[#This Row],[Discount on Total Revenue]])*RevenueTable[[#This Row],[Total Revenue]],2)</f>
        <v>1686.83</v>
      </c>
    </row>
    <row r="478" spans="1:7" x14ac:dyDescent="0.3">
      <c r="A478" s="46">
        <v>43045</v>
      </c>
      <c r="B478" t="s">
        <v>7</v>
      </c>
      <c r="C478">
        <v>136</v>
      </c>
      <c r="D478" s="59">
        <v>43.95</v>
      </c>
      <c r="E478" s="59">
        <v>5977.2000000000007</v>
      </c>
      <c r="F478">
        <f>VLOOKUP(RevenueTable[[#This Row],[Units Sold]],Discounttable[],2)</f>
        <v>0.4375</v>
      </c>
      <c r="G478">
        <f>ROUND((1-RevenueTable[[#This Row],[Discount on Total Revenue]])*RevenueTable[[#This Row],[Total Revenue]],2)</f>
        <v>3362.18</v>
      </c>
    </row>
    <row r="479" spans="1:7" x14ac:dyDescent="0.3">
      <c r="A479" s="46">
        <v>43040</v>
      </c>
      <c r="B479" t="s">
        <v>13</v>
      </c>
      <c r="C479">
        <v>179</v>
      </c>
      <c r="D479" s="59">
        <v>14.95</v>
      </c>
      <c r="E479" s="59">
        <v>2676.0499999999997</v>
      </c>
      <c r="F479">
        <f>VLOOKUP(RevenueTable[[#This Row],[Units Sold]],Discounttable[],2)</f>
        <v>0.55000000000000004</v>
      </c>
      <c r="G479">
        <f>ROUND((1-RevenueTable[[#This Row],[Discount on Total Revenue]])*RevenueTable[[#This Row],[Total Revenue]],2)</f>
        <v>1204.22</v>
      </c>
    </row>
    <row r="480" spans="1:7" x14ac:dyDescent="0.3">
      <c r="A480" s="46">
        <v>43040</v>
      </c>
      <c r="B480" t="s">
        <v>5</v>
      </c>
      <c r="C480">
        <v>85</v>
      </c>
      <c r="D480" s="59">
        <v>22.95</v>
      </c>
      <c r="E480" s="59">
        <v>1950.75</v>
      </c>
      <c r="F480">
        <f>VLOOKUP(RevenueTable[[#This Row],[Units Sold]],Discounttable[],2)</f>
        <v>0.375</v>
      </c>
      <c r="G480">
        <f>ROUND((1-RevenueTable[[#This Row],[Discount on Total Revenue]])*RevenueTable[[#This Row],[Total Revenue]],2)</f>
        <v>1219.22</v>
      </c>
    </row>
    <row r="481" spans="1:7" x14ac:dyDescent="0.3">
      <c r="A481" s="46">
        <v>43044</v>
      </c>
      <c r="B481" t="s">
        <v>7</v>
      </c>
      <c r="C481">
        <v>46</v>
      </c>
      <c r="D481" s="59">
        <v>43.95</v>
      </c>
      <c r="E481" s="59">
        <v>2021.7</v>
      </c>
      <c r="F481">
        <f>VLOOKUP(RevenueTable[[#This Row],[Units Sold]],Discounttable[],2)</f>
        <v>0.25</v>
      </c>
      <c r="G481">
        <f>ROUND((1-RevenueTable[[#This Row],[Discount on Total Revenue]])*RevenueTable[[#This Row],[Total Revenue]],2)</f>
        <v>1516.28</v>
      </c>
    </row>
    <row r="482" spans="1:7" x14ac:dyDescent="0.3">
      <c r="A482" s="46">
        <v>43041</v>
      </c>
      <c r="B482" t="s">
        <v>7</v>
      </c>
      <c r="C482">
        <v>85</v>
      </c>
      <c r="D482" s="59">
        <v>43.95</v>
      </c>
      <c r="E482" s="59">
        <v>3735.7500000000005</v>
      </c>
      <c r="F482">
        <f>VLOOKUP(RevenueTable[[#This Row],[Units Sold]],Discounttable[],2)</f>
        <v>0.375</v>
      </c>
      <c r="G482">
        <f>ROUND((1-RevenueTable[[#This Row],[Discount on Total Revenue]])*RevenueTable[[#This Row],[Total Revenue]],2)</f>
        <v>2334.84</v>
      </c>
    </row>
    <row r="483" spans="1:7" x14ac:dyDescent="0.3">
      <c r="A483" s="46">
        <v>43047</v>
      </c>
      <c r="B483" t="s">
        <v>7</v>
      </c>
      <c r="C483">
        <v>97</v>
      </c>
      <c r="D483" s="59">
        <v>43.95</v>
      </c>
      <c r="E483" s="59">
        <v>4263.1500000000005</v>
      </c>
      <c r="F483">
        <f>VLOOKUP(RevenueTable[[#This Row],[Units Sold]],Discounttable[],2)</f>
        <v>0.4375</v>
      </c>
      <c r="G483">
        <f>ROUND((1-RevenueTable[[#This Row],[Discount on Total Revenue]])*RevenueTable[[#This Row],[Total Revenue]],2)</f>
        <v>2398.02</v>
      </c>
    </row>
    <row r="484" spans="1:7" x14ac:dyDescent="0.3">
      <c r="A484" s="46">
        <v>43047</v>
      </c>
      <c r="B484" t="s">
        <v>5</v>
      </c>
      <c r="C484">
        <v>60</v>
      </c>
      <c r="D484" s="59">
        <v>22.95</v>
      </c>
      <c r="E484" s="59">
        <v>1377</v>
      </c>
      <c r="F484">
        <f>VLOOKUP(RevenueTable[[#This Row],[Units Sold]],Discounttable[],2)</f>
        <v>0.375</v>
      </c>
      <c r="G484">
        <f>ROUND((1-RevenueTable[[#This Row],[Discount on Total Revenue]])*RevenueTable[[#This Row],[Total Revenue]],2)</f>
        <v>860.63</v>
      </c>
    </row>
    <row r="485" spans="1:7" x14ac:dyDescent="0.3">
      <c r="A485" s="46">
        <v>43041</v>
      </c>
      <c r="B485" t="s">
        <v>13</v>
      </c>
      <c r="C485">
        <v>63</v>
      </c>
      <c r="D485" s="59">
        <v>14.95</v>
      </c>
      <c r="E485" s="59">
        <v>941.84999999999991</v>
      </c>
      <c r="F485">
        <f>VLOOKUP(RevenueTable[[#This Row],[Units Sold]],Discounttable[],2)</f>
        <v>0.375</v>
      </c>
      <c r="G485">
        <f>ROUND((1-RevenueTable[[#This Row],[Discount on Total Revenue]])*RevenueTable[[#This Row],[Total Revenue]],2)</f>
        <v>588.66</v>
      </c>
    </row>
    <row r="486" spans="1:7" x14ac:dyDescent="0.3">
      <c r="A486" s="46">
        <v>43042</v>
      </c>
      <c r="B486" t="s">
        <v>13</v>
      </c>
      <c r="C486">
        <v>74</v>
      </c>
      <c r="D486" s="59">
        <v>14.95</v>
      </c>
      <c r="E486" s="59">
        <v>1106.3</v>
      </c>
      <c r="F486">
        <f>VLOOKUP(RevenueTable[[#This Row],[Units Sold]],Discounttable[],2)</f>
        <v>0.375</v>
      </c>
      <c r="G486">
        <f>ROUND((1-RevenueTable[[#This Row],[Discount on Total Revenue]])*RevenueTable[[#This Row],[Total Revenue]],2)</f>
        <v>691.44</v>
      </c>
    </row>
    <row r="487" spans="1:7" x14ac:dyDescent="0.3">
      <c r="A487" s="46">
        <v>43045</v>
      </c>
      <c r="B487" t="s">
        <v>5</v>
      </c>
      <c r="C487">
        <v>171</v>
      </c>
      <c r="D487" s="59">
        <v>22.95</v>
      </c>
      <c r="E487" s="59">
        <v>3924.45</v>
      </c>
      <c r="F487">
        <f>VLOOKUP(RevenueTable[[#This Row],[Units Sold]],Discounttable[],2)</f>
        <v>0.55000000000000004</v>
      </c>
      <c r="G487">
        <f>ROUND((1-RevenueTable[[#This Row],[Discount on Total Revenue]])*RevenueTable[[#This Row],[Total Revenue]],2)</f>
        <v>1766</v>
      </c>
    </row>
    <row r="488" spans="1:7" x14ac:dyDescent="0.3">
      <c r="A488" s="46">
        <v>43040</v>
      </c>
      <c r="B488" t="s">
        <v>5</v>
      </c>
      <c r="C488">
        <v>73</v>
      </c>
      <c r="D488" s="59">
        <v>22.95</v>
      </c>
      <c r="E488" s="59">
        <v>1675.35</v>
      </c>
      <c r="F488">
        <f>VLOOKUP(RevenueTable[[#This Row],[Units Sold]],Discounttable[],2)</f>
        <v>0.375</v>
      </c>
      <c r="G488">
        <f>ROUND((1-RevenueTable[[#This Row],[Discount on Total Revenue]])*RevenueTable[[#This Row],[Total Revenue]],2)</f>
        <v>1047.0899999999999</v>
      </c>
    </row>
    <row r="489" spans="1:7" x14ac:dyDescent="0.3">
      <c r="A489" s="46">
        <v>43046</v>
      </c>
      <c r="B489" t="s">
        <v>13</v>
      </c>
      <c r="C489">
        <v>85</v>
      </c>
      <c r="D489" s="59">
        <v>14.95</v>
      </c>
      <c r="E489" s="59">
        <v>1270.75</v>
      </c>
      <c r="F489">
        <f>VLOOKUP(RevenueTable[[#This Row],[Units Sold]],Discounttable[],2)</f>
        <v>0.375</v>
      </c>
      <c r="G489">
        <f>ROUND((1-RevenueTable[[#This Row],[Discount on Total Revenue]])*RevenueTable[[#This Row],[Total Revenue]],2)</f>
        <v>794.22</v>
      </c>
    </row>
    <row r="490" spans="1:7" x14ac:dyDescent="0.3">
      <c r="A490" s="46">
        <v>43047</v>
      </c>
      <c r="B490" t="s">
        <v>13</v>
      </c>
      <c r="C490">
        <v>35</v>
      </c>
      <c r="D490" s="59">
        <v>14.95</v>
      </c>
      <c r="E490" s="59">
        <v>523.25</v>
      </c>
      <c r="F490">
        <f>VLOOKUP(RevenueTable[[#This Row],[Units Sold]],Discounttable[],2)</f>
        <v>0.25</v>
      </c>
      <c r="G490">
        <f>ROUND((1-RevenueTable[[#This Row],[Discount on Total Revenue]])*RevenueTable[[#This Row],[Total Revenue]],2)</f>
        <v>392.44</v>
      </c>
    </row>
    <row r="491" spans="1:7" x14ac:dyDescent="0.3">
      <c r="A491" s="46">
        <v>43045</v>
      </c>
      <c r="B491" t="s">
        <v>8</v>
      </c>
      <c r="C491">
        <v>89</v>
      </c>
      <c r="D491" s="59">
        <v>21.95</v>
      </c>
      <c r="E491" s="59">
        <v>1953.55</v>
      </c>
      <c r="F491">
        <f>VLOOKUP(RevenueTable[[#This Row],[Units Sold]],Discounttable[],2)</f>
        <v>0.375</v>
      </c>
      <c r="G491">
        <f>ROUND((1-RevenueTable[[#This Row],[Discount on Total Revenue]])*RevenueTable[[#This Row],[Total Revenue]],2)</f>
        <v>1220.97</v>
      </c>
    </row>
    <row r="492" spans="1:7" x14ac:dyDescent="0.3">
      <c r="A492" s="46">
        <v>43040</v>
      </c>
      <c r="B492" t="s">
        <v>8</v>
      </c>
      <c r="C492">
        <v>95</v>
      </c>
      <c r="D492" s="59">
        <v>21.95</v>
      </c>
      <c r="E492" s="59">
        <v>2085.25</v>
      </c>
      <c r="F492">
        <f>VLOOKUP(RevenueTable[[#This Row],[Units Sold]],Discounttable[],2)</f>
        <v>0.375</v>
      </c>
      <c r="G492">
        <f>ROUND((1-RevenueTable[[#This Row],[Discount on Total Revenue]])*RevenueTable[[#This Row],[Total Revenue]],2)</f>
        <v>1303.28</v>
      </c>
    </row>
    <row r="493" spans="1:7" x14ac:dyDescent="0.3">
      <c r="A493" s="46">
        <v>43047</v>
      </c>
      <c r="B493" t="s">
        <v>7</v>
      </c>
      <c r="C493">
        <v>125</v>
      </c>
      <c r="D493" s="59">
        <v>43.95</v>
      </c>
      <c r="E493" s="59">
        <v>5493.75</v>
      </c>
      <c r="F493">
        <f>VLOOKUP(RevenueTable[[#This Row],[Units Sold]],Discounttable[],2)</f>
        <v>0.4375</v>
      </c>
      <c r="G493">
        <f>ROUND((1-RevenueTable[[#This Row],[Discount on Total Revenue]])*RevenueTable[[#This Row],[Total Revenue]],2)</f>
        <v>3090.23</v>
      </c>
    </row>
    <row r="494" spans="1:7" x14ac:dyDescent="0.3">
      <c r="A494" s="46">
        <v>43046</v>
      </c>
      <c r="B494" t="s">
        <v>5</v>
      </c>
      <c r="C494">
        <v>78</v>
      </c>
      <c r="D494" s="59">
        <v>22.95</v>
      </c>
      <c r="E494" s="59">
        <v>1790.1</v>
      </c>
      <c r="F494">
        <f>VLOOKUP(RevenueTable[[#This Row],[Units Sold]],Discounttable[],2)</f>
        <v>0.375</v>
      </c>
      <c r="G494">
        <f>ROUND((1-RevenueTable[[#This Row],[Discount on Total Revenue]])*RevenueTable[[#This Row],[Total Revenue]],2)</f>
        <v>1118.81</v>
      </c>
    </row>
    <row r="495" spans="1:7" x14ac:dyDescent="0.3">
      <c r="A495" s="46">
        <v>43046</v>
      </c>
      <c r="B495" t="s">
        <v>5</v>
      </c>
      <c r="C495">
        <v>187</v>
      </c>
      <c r="D495" s="59">
        <v>22.95</v>
      </c>
      <c r="E495" s="59">
        <v>4291.6499999999996</v>
      </c>
      <c r="F495">
        <f>VLOOKUP(RevenueTable[[#This Row],[Units Sold]],Discounttable[],2)</f>
        <v>0.55000000000000004</v>
      </c>
      <c r="G495">
        <f>ROUND((1-RevenueTable[[#This Row],[Discount on Total Revenue]])*RevenueTable[[#This Row],[Total Revenue]],2)</f>
        <v>1931.24</v>
      </c>
    </row>
    <row r="496" spans="1:7" x14ac:dyDescent="0.3">
      <c r="A496" s="46">
        <v>43044</v>
      </c>
      <c r="B496" t="s">
        <v>7</v>
      </c>
      <c r="C496">
        <v>33</v>
      </c>
      <c r="D496" s="59">
        <v>43.95</v>
      </c>
      <c r="E496" s="59">
        <v>1450.3500000000001</v>
      </c>
      <c r="F496">
        <f>VLOOKUP(RevenueTable[[#This Row],[Units Sold]],Discounttable[],2)</f>
        <v>0.25</v>
      </c>
      <c r="G496">
        <f>ROUND((1-RevenueTable[[#This Row],[Discount on Total Revenue]])*RevenueTable[[#This Row],[Total Revenue]],2)</f>
        <v>1087.76</v>
      </c>
    </row>
    <row r="497" spans="1:7" x14ac:dyDescent="0.3">
      <c r="A497" s="46">
        <v>43042</v>
      </c>
      <c r="B497" t="s">
        <v>7</v>
      </c>
      <c r="C497">
        <v>104</v>
      </c>
      <c r="D497" s="59">
        <v>43.95</v>
      </c>
      <c r="E497" s="59">
        <v>4570.8</v>
      </c>
      <c r="F497">
        <f>VLOOKUP(RevenueTable[[#This Row],[Units Sold]],Discounttable[],2)</f>
        <v>0.4375</v>
      </c>
      <c r="G497">
        <f>ROUND((1-RevenueTable[[#This Row],[Discount on Total Revenue]])*RevenueTable[[#This Row],[Total Revenue]],2)</f>
        <v>2571.08</v>
      </c>
    </row>
    <row r="498" spans="1:7" x14ac:dyDescent="0.3">
      <c r="A498" s="46">
        <v>43042</v>
      </c>
      <c r="B498" t="s">
        <v>7</v>
      </c>
      <c r="C498">
        <v>25</v>
      </c>
      <c r="D498" s="59">
        <v>43.95</v>
      </c>
      <c r="E498" s="59">
        <v>1098.75</v>
      </c>
      <c r="F498">
        <f>VLOOKUP(RevenueTable[[#This Row],[Units Sold]],Discounttable[],2)</f>
        <v>0.25</v>
      </c>
      <c r="G498">
        <f>ROUND((1-RevenueTable[[#This Row],[Discount on Total Revenue]])*RevenueTable[[#This Row],[Total Revenue]],2)</f>
        <v>824.06</v>
      </c>
    </row>
    <row r="499" spans="1:7" x14ac:dyDescent="0.3">
      <c r="A499" s="46">
        <v>43044</v>
      </c>
      <c r="B499" t="s">
        <v>5</v>
      </c>
      <c r="C499">
        <v>166</v>
      </c>
      <c r="D499" s="59">
        <v>22.95</v>
      </c>
      <c r="E499" s="59">
        <v>3809.7</v>
      </c>
      <c r="F499">
        <f>VLOOKUP(RevenueTable[[#This Row],[Units Sold]],Discounttable[],2)</f>
        <v>0.5</v>
      </c>
      <c r="G499">
        <f>ROUND((1-RevenueTable[[#This Row],[Discount on Total Revenue]])*RevenueTable[[#This Row],[Total Revenue]],2)</f>
        <v>1904.85</v>
      </c>
    </row>
    <row r="500" spans="1:7" x14ac:dyDescent="0.3">
      <c r="A500" s="46">
        <v>43041</v>
      </c>
      <c r="B500" t="s">
        <v>7</v>
      </c>
      <c r="C500">
        <v>58</v>
      </c>
      <c r="D500" s="59">
        <v>43.95</v>
      </c>
      <c r="E500" s="59">
        <v>2549.1000000000004</v>
      </c>
      <c r="F500">
        <f>VLOOKUP(RevenueTable[[#This Row],[Units Sold]],Discounttable[],2)</f>
        <v>0.375</v>
      </c>
      <c r="G500">
        <f>ROUND((1-RevenueTable[[#This Row],[Discount on Total Revenue]])*RevenueTable[[#This Row],[Total Revenue]],2)</f>
        <v>1593.19</v>
      </c>
    </row>
    <row r="501" spans="1:7" x14ac:dyDescent="0.3">
      <c r="A501" s="46">
        <v>43043</v>
      </c>
      <c r="B501" t="s">
        <v>5</v>
      </c>
      <c r="C501">
        <v>94</v>
      </c>
      <c r="D501" s="59">
        <v>22.95</v>
      </c>
      <c r="E501" s="59">
        <v>2157.2999999999997</v>
      </c>
      <c r="F501">
        <f>VLOOKUP(RevenueTable[[#This Row],[Units Sold]],Discounttable[],2)</f>
        <v>0.375</v>
      </c>
      <c r="G501">
        <f>ROUND((1-RevenueTable[[#This Row],[Discount on Total Revenue]])*RevenueTable[[#This Row],[Total Revenue]],2)</f>
        <v>1348.31</v>
      </c>
    </row>
    <row r="502" spans="1:7" x14ac:dyDescent="0.3">
      <c r="A502" s="46">
        <v>43044</v>
      </c>
      <c r="B502" t="s">
        <v>7</v>
      </c>
      <c r="C502">
        <v>49</v>
      </c>
      <c r="D502" s="59">
        <v>43.95</v>
      </c>
      <c r="E502" s="59">
        <v>2153.5500000000002</v>
      </c>
      <c r="F502">
        <f>VLOOKUP(RevenueTable[[#This Row],[Units Sold]],Discounttable[],2)</f>
        <v>0.375</v>
      </c>
      <c r="G502">
        <f>ROUND((1-RevenueTable[[#This Row],[Discount on Total Revenue]])*RevenueTable[[#This Row],[Total Revenue]],2)</f>
        <v>1345.97</v>
      </c>
    </row>
    <row r="503" spans="1:7" x14ac:dyDescent="0.3">
      <c r="A503" s="46">
        <v>43041</v>
      </c>
      <c r="B503" t="s">
        <v>7</v>
      </c>
      <c r="C503">
        <v>92</v>
      </c>
      <c r="D503" s="59">
        <v>43.95</v>
      </c>
      <c r="E503" s="59">
        <v>4043.4</v>
      </c>
      <c r="F503">
        <f>VLOOKUP(RevenueTable[[#This Row],[Units Sold]],Discounttable[],2)</f>
        <v>0.375</v>
      </c>
      <c r="G503">
        <f>ROUND((1-RevenueTable[[#This Row],[Discount on Total Revenue]])*RevenueTable[[#This Row],[Total Revenue]],2)</f>
        <v>2527.13</v>
      </c>
    </row>
    <row r="504" spans="1:7" x14ac:dyDescent="0.3">
      <c r="A504" s="46">
        <v>43045</v>
      </c>
      <c r="B504" t="s">
        <v>5</v>
      </c>
      <c r="C504">
        <v>71</v>
      </c>
      <c r="D504" s="59">
        <v>22.95</v>
      </c>
      <c r="E504" s="59">
        <v>1629.45</v>
      </c>
      <c r="F504">
        <f>VLOOKUP(RevenueTable[[#This Row],[Units Sold]],Discounttable[],2)</f>
        <v>0.375</v>
      </c>
      <c r="G504">
        <f>ROUND((1-RevenueTable[[#This Row],[Discount on Total Revenue]])*RevenueTable[[#This Row],[Total Revenue]],2)</f>
        <v>1018.41</v>
      </c>
    </row>
    <row r="505" spans="1:7" x14ac:dyDescent="0.3">
      <c r="A505" s="46">
        <v>43041</v>
      </c>
      <c r="B505" t="s">
        <v>13</v>
      </c>
      <c r="C505">
        <v>27</v>
      </c>
      <c r="D505" s="59">
        <v>14.95</v>
      </c>
      <c r="E505" s="59">
        <v>403.65</v>
      </c>
      <c r="F505">
        <f>VLOOKUP(RevenueTable[[#This Row],[Units Sold]],Discounttable[],2)</f>
        <v>0.25</v>
      </c>
      <c r="G505">
        <f>ROUND((1-RevenueTable[[#This Row],[Discount on Total Revenue]])*RevenueTable[[#This Row],[Total Revenue]],2)</f>
        <v>302.74</v>
      </c>
    </row>
    <row r="506" spans="1:7" x14ac:dyDescent="0.3">
      <c r="A506" s="46">
        <v>43046</v>
      </c>
      <c r="B506" t="s">
        <v>5</v>
      </c>
      <c r="C506">
        <v>5</v>
      </c>
      <c r="D506" s="59">
        <v>22.95</v>
      </c>
      <c r="E506" s="59">
        <v>114.75</v>
      </c>
      <c r="F506">
        <f>VLOOKUP(RevenueTable[[#This Row],[Units Sold]],Discounttable[],2)</f>
        <v>0</v>
      </c>
      <c r="G506">
        <f>ROUND((1-RevenueTable[[#This Row],[Discount on Total Revenue]])*RevenueTable[[#This Row],[Total Revenue]],2)</f>
        <v>114.75</v>
      </c>
    </row>
    <row r="507" spans="1:7" x14ac:dyDescent="0.3">
      <c r="A507" s="46">
        <v>43043</v>
      </c>
      <c r="B507" t="s">
        <v>7</v>
      </c>
      <c r="C507">
        <v>190</v>
      </c>
      <c r="D507" s="59">
        <v>43.95</v>
      </c>
      <c r="E507" s="59">
        <v>8350.5</v>
      </c>
      <c r="F507">
        <f>VLOOKUP(RevenueTable[[#This Row],[Units Sold]],Discounttable[],2)</f>
        <v>0.55000000000000004</v>
      </c>
      <c r="G507">
        <f>ROUND((1-RevenueTable[[#This Row],[Discount on Total Revenue]])*RevenueTable[[#This Row],[Total Revenue]],2)</f>
        <v>3757.73</v>
      </c>
    </row>
    <row r="508" spans="1:7" x14ac:dyDescent="0.3">
      <c r="A508" s="46">
        <v>43043</v>
      </c>
      <c r="B508" t="s">
        <v>5</v>
      </c>
      <c r="C508">
        <v>146</v>
      </c>
      <c r="D508" s="59">
        <v>22.95</v>
      </c>
      <c r="E508" s="59">
        <v>3350.7</v>
      </c>
      <c r="F508">
        <f>VLOOKUP(RevenueTable[[#This Row],[Units Sold]],Discounttable[],2)</f>
        <v>0.5</v>
      </c>
      <c r="G508">
        <f>ROUND((1-RevenueTable[[#This Row],[Discount on Total Revenue]])*RevenueTable[[#This Row],[Total Revenue]],2)</f>
        <v>1675.35</v>
      </c>
    </row>
    <row r="509" spans="1:7" x14ac:dyDescent="0.3">
      <c r="A509" s="46">
        <v>43046</v>
      </c>
      <c r="B509" t="s">
        <v>8</v>
      </c>
      <c r="C509">
        <v>183</v>
      </c>
      <c r="D509" s="59">
        <v>21.95</v>
      </c>
      <c r="E509" s="59">
        <v>4016.85</v>
      </c>
      <c r="F509">
        <f>VLOOKUP(RevenueTable[[#This Row],[Units Sold]],Discounttable[],2)</f>
        <v>0.55000000000000004</v>
      </c>
      <c r="G509">
        <f>ROUND((1-RevenueTable[[#This Row],[Discount on Total Revenue]])*RevenueTable[[#This Row],[Total Revenue]],2)</f>
        <v>1807.58</v>
      </c>
    </row>
    <row r="510" spans="1:7" x14ac:dyDescent="0.3">
      <c r="A510" s="46">
        <v>43043</v>
      </c>
      <c r="B510" t="s">
        <v>5</v>
      </c>
      <c r="C510">
        <v>163</v>
      </c>
      <c r="D510" s="59">
        <v>22.95</v>
      </c>
      <c r="E510" s="59">
        <v>3740.85</v>
      </c>
      <c r="F510">
        <f>VLOOKUP(RevenueTable[[#This Row],[Units Sold]],Discounttable[],2)</f>
        <v>0.5</v>
      </c>
      <c r="G510">
        <f>ROUND((1-RevenueTable[[#This Row],[Discount on Total Revenue]])*RevenueTable[[#This Row],[Total Revenue]],2)</f>
        <v>1870.43</v>
      </c>
    </row>
    <row r="511" spans="1:7" x14ac:dyDescent="0.3">
      <c r="A511" s="46">
        <v>43046</v>
      </c>
      <c r="B511" t="s">
        <v>8</v>
      </c>
      <c r="C511">
        <v>138</v>
      </c>
      <c r="D511" s="59">
        <v>21.95</v>
      </c>
      <c r="E511" s="59">
        <v>3029.1</v>
      </c>
      <c r="F511">
        <f>VLOOKUP(RevenueTable[[#This Row],[Units Sold]],Discounttable[],2)</f>
        <v>0.4375</v>
      </c>
      <c r="G511">
        <f>ROUND((1-RevenueTable[[#This Row],[Discount on Total Revenue]])*RevenueTable[[#This Row],[Total Revenue]],2)</f>
        <v>1703.87</v>
      </c>
    </row>
    <row r="512" spans="1:7" x14ac:dyDescent="0.3">
      <c r="A512" s="46">
        <v>43045</v>
      </c>
      <c r="B512" t="s">
        <v>8</v>
      </c>
      <c r="C512">
        <v>151</v>
      </c>
      <c r="D512" s="59">
        <v>21.95</v>
      </c>
      <c r="E512" s="59">
        <v>3314.45</v>
      </c>
      <c r="F512">
        <f>VLOOKUP(RevenueTable[[#This Row],[Units Sold]],Discounttable[],2)</f>
        <v>0.5</v>
      </c>
      <c r="G512">
        <f>ROUND((1-RevenueTable[[#This Row],[Discount on Total Revenue]])*RevenueTable[[#This Row],[Total Revenue]],2)</f>
        <v>1657.23</v>
      </c>
    </row>
    <row r="513" spans="1:7" x14ac:dyDescent="0.3">
      <c r="A513" s="46">
        <v>43040</v>
      </c>
      <c r="B513" t="s">
        <v>13</v>
      </c>
      <c r="C513">
        <v>110</v>
      </c>
      <c r="D513" s="59">
        <v>14.95</v>
      </c>
      <c r="E513" s="59">
        <v>1644.5</v>
      </c>
      <c r="F513">
        <f>VLOOKUP(RevenueTable[[#This Row],[Units Sold]],Discounttable[],2)</f>
        <v>0.4375</v>
      </c>
      <c r="G513">
        <f>ROUND((1-RevenueTable[[#This Row],[Discount on Total Revenue]])*RevenueTable[[#This Row],[Total Revenue]],2)</f>
        <v>925.03</v>
      </c>
    </row>
    <row r="514" spans="1:7" x14ac:dyDescent="0.3">
      <c r="A514" s="46">
        <v>43046</v>
      </c>
      <c r="B514" t="s">
        <v>7</v>
      </c>
      <c r="C514">
        <v>95</v>
      </c>
      <c r="D514" s="59">
        <v>43.95</v>
      </c>
      <c r="E514" s="59">
        <v>4175.25</v>
      </c>
      <c r="F514">
        <f>VLOOKUP(RevenueTable[[#This Row],[Units Sold]],Discounttable[],2)</f>
        <v>0.375</v>
      </c>
      <c r="G514">
        <f>ROUND((1-RevenueTable[[#This Row],[Discount on Total Revenue]])*RevenueTable[[#This Row],[Total Revenue]],2)</f>
        <v>2609.5300000000002</v>
      </c>
    </row>
    <row r="515" spans="1:7" x14ac:dyDescent="0.3">
      <c r="A515" s="46">
        <v>43042</v>
      </c>
      <c r="B515" t="s">
        <v>8</v>
      </c>
      <c r="C515">
        <v>89</v>
      </c>
      <c r="D515" s="59">
        <v>21.95</v>
      </c>
      <c r="E515" s="59">
        <v>1953.55</v>
      </c>
      <c r="F515">
        <f>VLOOKUP(RevenueTable[[#This Row],[Units Sold]],Discounttable[],2)</f>
        <v>0.375</v>
      </c>
      <c r="G515">
        <f>ROUND((1-RevenueTable[[#This Row],[Discount on Total Revenue]])*RevenueTable[[#This Row],[Total Revenue]],2)</f>
        <v>1220.97</v>
      </c>
    </row>
    <row r="516" spans="1:7" x14ac:dyDescent="0.3">
      <c r="A516" s="46">
        <v>43040</v>
      </c>
      <c r="B516" t="s">
        <v>5</v>
      </c>
      <c r="C516">
        <v>181</v>
      </c>
      <c r="D516" s="59">
        <v>22.95</v>
      </c>
      <c r="E516" s="59">
        <v>4153.95</v>
      </c>
      <c r="F516">
        <f>VLOOKUP(RevenueTable[[#This Row],[Units Sold]],Discounttable[],2)</f>
        <v>0.55000000000000004</v>
      </c>
      <c r="G516">
        <f>ROUND((1-RevenueTable[[#This Row],[Discount on Total Revenue]])*RevenueTable[[#This Row],[Total Revenue]],2)</f>
        <v>1869.28</v>
      </c>
    </row>
    <row r="517" spans="1:7" x14ac:dyDescent="0.3">
      <c r="A517" s="46">
        <v>43047</v>
      </c>
      <c r="B517" t="s">
        <v>7</v>
      </c>
      <c r="C517">
        <v>106</v>
      </c>
      <c r="D517" s="59">
        <v>43.95</v>
      </c>
      <c r="E517" s="59">
        <v>4658.7000000000007</v>
      </c>
      <c r="F517">
        <f>VLOOKUP(RevenueTable[[#This Row],[Units Sold]],Discounttable[],2)</f>
        <v>0.4375</v>
      </c>
      <c r="G517">
        <f>ROUND((1-RevenueTable[[#This Row],[Discount on Total Revenue]])*RevenueTable[[#This Row],[Total Revenue]],2)</f>
        <v>2620.52</v>
      </c>
    </row>
    <row r="518" spans="1:7" x14ac:dyDescent="0.3">
      <c r="A518" s="46">
        <v>43042</v>
      </c>
      <c r="B518" t="s">
        <v>8</v>
      </c>
      <c r="C518">
        <v>97</v>
      </c>
      <c r="D518" s="59">
        <v>21.95</v>
      </c>
      <c r="E518" s="59">
        <v>2129.15</v>
      </c>
      <c r="F518">
        <f>VLOOKUP(RevenueTable[[#This Row],[Units Sold]],Discounttable[],2)</f>
        <v>0.4375</v>
      </c>
      <c r="G518">
        <f>ROUND((1-RevenueTable[[#This Row],[Discount on Total Revenue]])*RevenueTable[[#This Row],[Total Revenue]],2)</f>
        <v>1197.6500000000001</v>
      </c>
    </row>
    <row r="519" spans="1:7" x14ac:dyDescent="0.3">
      <c r="A519" s="46">
        <v>43041</v>
      </c>
      <c r="B519" t="s">
        <v>5</v>
      </c>
      <c r="C519">
        <v>62</v>
      </c>
      <c r="D519" s="59">
        <v>22.95</v>
      </c>
      <c r="E519" s="59">
        <v>1422.8999999999999</v>
      </c>
      <c r="F519">
        <f>VLOOKUP(RevenueTable[[#This Row],[Units Sold]],Discounttable[],2)</f>
        <v>0.375</v>
      </c>
      <c r="G519">
        <f>ROUND((1-RevenueTable[[#This Row],[Discount on Total Revenue]])*RevenueTable[[#This Row],[Total Revenue]],2)</f>
        <v>889.31</v>
      </c>
    </row>
    <row r="520" spans="1:7" x14ac:dyDescent="0.3">
      <c r="A520" s="46">
        <v>43047</v>
      </c>
      <c r="B520" t="s">
        <v>7</v>
      </c>
      <c r="C520">
        <v>124</v>
      </c>
      <c r="D520" s="59">
        <v>43.95</v>
      </c>
      <c r="E520" s="59">
        <v>5449.8</v>
      </c>
      <c r="F520">
        <f>VLOOKUP(RevenueTable[[#This Row],[Units Sold]],Discounttable[],2)</f>
        <v>0.4375</v>
      </c>
      <c r="G520">
        <f>ROUND((1-RevenueTable[[#This Row],[Discount on Total Revenue]])*RevenueTable[[#This Row],[Total Revenue]],2)</f>
        <v>3065.51</v>
      </c>
    </row>
    <row r="521" spans="1:7" x14ac:dyDescent="0.3">
      <c r="A521" s="46">
        <v>43045</v>
      </c>
      <c r="B521" t="s">
        <v>8</v>
      </c>
      <c r="C521">
        <v>134</v>
      </c>
      <c r="D521" s="59">
        <v>21.95</v>
      </c>
      <c r="E521" s="59">
        <v>2941.2999999999997</v>
      </c>
      <c r="F521">
        <f>VLOOKUP(RevenueTable[[#This Row],[Units Sold]],Discounttable[],2)</f>
        <v>0.4375</v>
      </c>
      <c r="G521">
        <f>ROUND((1-RevenueTable[[#This Row],[Discount on Total Revenue]])*RevenueTable[[#This Row],[Total Revenue]],2)</f>
        <v>1654.48</v>
      </c>
    </row>
    <row r="522" spans="1:7" x14ac:dyDescent="0.3">
      <c r="A522" s="46">
        <v>43046</v>
      </c>
      <c r="B522" t="s">
        <v>5</v>
      </c>
      <c r="C522">
        <v>175</v>
      </c>
      <c r="D522" s="59">
        <v>22.95</v>
      </c>
      <c r="E522" s="59">
        <v>4016.25</v>
      </c>
      <c r="F522">
        <f>VLOOKUP(RevenueTable[[#This Row],[Units Sold]],Discounttable[],2)</f>
        <v>0.55000000000000004</v>
      </c>
      <c r="G522">
        <f>ROUND((1-RevenueTable[[#This Row],[Discount on Total Revenue]])*RevenueTable[[#This Row],[Total Revenue]],2)</f>
        <v>1807.31</v>
      </c>
    </row>
    <row r="523" spans="1:7" x14ac:dyDescent="0.3">
      <c r="A523" s="46">
        <v>43045</v>
      </c>
      <c r="B523" t="s">
        <v>8</v>
      </c>
      <c r="C523">
        <v>112</v>
      </c>
      <c r="D523" s="59">
        <v>21.95</v>
      </c>
      <c r="E523" s="59">
        <v>2458.4</v>
      </c>
      <c r="F523">
        <f>VLOOKUP(RevenueTable[[#This Row],[Units Sold]],Discounttable[],2)</f>
        <v>0.4375</v>
      </c>
      <c r="G523">
        <f>ROUND((1-RevenueTable[[#This Row],[Discount on Total Revenue]])*RevenueTable[[#This Row],[Total Revenue]],2)</f>
        <v>1382.85</v>
      </c>
    </row>
    <row r="524" spans="1:7" x14ac:dyDescent="0.3">
      <c r="A524" s="46">
        <v>43042</v>
      </c>
      <c r="B524" t="s">
        <v>5</v>
      </c>
      <c r="C524">
        <v>15</v>
      </c>
      <c r="D524" s="59">
        <v>22.95</v>
      </c>
      <c r="E524" s="59">
        <v>344.25</v>
      </c>
      <c r="F524">
        <f>VLOOKUP(RevenueTable[[#This Row],[Units Sold]],Discounttable[],2)</f>
        <v>0.25</v>
      </c>
      <c r="G524">
        <f>ROUND((1-RevenueTable[[#This Row],[Discount on Total Revenue]])*RevenueTable[[#This Row],[Total Revenue]],2)</f>
        <v>258.19</v>
      </c>
    </row>
    <row r="525" spans="1:7" x14ac:dyDescent="0.3">
      <c r="A525" s="46">
        <v>43046</v>
      </c>
      <c r="B525" t="s">
        <v>8</v>
      </c>
      <c r="C525">
        <v>54</v>
      </c>
      <c r="D525" s="59">
        <v>21.95</v>
      </c>
      <c r="E525" s="59">
        <v>1185.3</v>
      </c>
      <c r="F525">
        <f>VLOOKUP(RevenueTable[[#This Row],[Units Sold]],Discounttable[],2)</f>
        <v>0.375</v>
      </c>
      <c r="G525">
        <f>ROUND((1-RevenueTable[[#This Row],[Discount on Total Revenue]])*RevenueTable[[#This Row],[Total Revenue]],2)</f>
        <v>740.81</v>
      </c>
    </row>
    <row r="526" spans="1:7" x14ac:dyDescent="0.3">
      <c r="A526" s="46">
        <v>43043</v>
      </c>
      <c r="B526" t="s">
        <v>8</v>
      </c>
      <c r="C526">
        <v>138</v>
      </c>
      <c r="D526" s="59">
        <v>21.95</v>
      </c>
      <c r="E526" s="59">
        <v>3029.1</v>
      </c>
      <c r="F526">
        <f>VLOOKUP(RevenueTable[[#This Row],[Units Sold]],Discounttable[],2)</f>
        <v>0.4375</v>
      </c>
      <c r="G526">
        <f>ROUND((1-RevenueTable[[#This Row],[Discount on Total Revenue]])*RevenueTable[[#This Row],[Total Revenue]],2)</f>
        <v>1703.87</v>
      </c>
    </row>
    <row r="527" spans="1:7" x14ac:dyDescent="0.3">
      <c r="A527" s="46">
        <v>43044</v>
      </c>
      <c r="B527" t="s">
        <v>8</v>
      </c>
      <c r="C527">
        <v>87</v>
      </c>
      <c r="D527" s="59">
        <v>21.95</v>
      </c>
      <c r="E527" s="59">
        <v>1909.6499999999999</v>
      </c>
      <c r="F527">
        <f>VLOOKUP(RevenueTable[[#This Row],[Units Sold]],Discounttable[],2)</f>
        <v>0.375</v>
      </c>
      <c r="G527">
        <f>ROUND((1-RevenueTable[[#This Row],[Discount on Total Revenue]])*RevenueTable[[#This Row],[Total Revenue]],2)</f>
        <v>1193.53</v>
      </c>
    </row>
    <row r="528" spans="1:7" x14ac:dyDescent="0.3">
      <c r="A528" s="46">
        <v>43045</v>
      </c>
      <c r="B528" t="s">
        <v>13</v>
      </c>
      <c r="C528">
        <v>13</v>
      </c>
      <c r="D528" s="59">
        <v>14.95</v>
      </c>
      <c r="E528" s="59">
        <v>194.35</v>
      </c>
      <c r="F528">
        <f>VLOOKUP(RevenueTable[[#This Row],[Units Sold]],Discounttable[],2)</f>
        <v>0.25</v>
      </c>
      <c r="G528">
        <f>ROUND((1-RevenueTable[[#This Row],[Discount on Total Revenue]])*RevenueTable[[#This Row],[Total Revenue]],2)</f>
        <v>145.76</v>
      </c>
    </row>
    <row r="529" spans="1:7" x14ac:dyDescent="0.3">
      <c r="A529" s="46">
        <v>43047</v>
      </c>
      <c r="B529" t="s">
        <v>5</v>
      </c>
      <c r="C529">
        <v>79</v>
      </c>
      <c r="D529" s="59">
        <v>22.95</v>
      </c>
      <c r="E529" s="59">
        <v>1813.05</v>
      </c>
      <c r="F529">
        <f>VLOOKUP(RevenueTable[[#This Row],[Units Sold]],Discounttable[],2)</f>
        <v>0.375</v>
      </c>
      <c r="G529">
        <f>ROUND((1-RevenueTable[[#This Row],[Discount on Total Revenue]])*RevenueTable[[#This Row],[Total Revenue]],2)</f>
        <v>1133.1600000000001</v>
      </c>
    </row>
    <row r="530" spans="1:7" x14ac:dyDescent="0.3">
      <c r="A530" s="46">
        <v>43047</v>
      </c>
      <c r="B530" t="s">
        <v>13</v>
      </c>
      <c r="C530">
        <v>60</v>
      </c>
      <c r="D530" s="59">
        <v>14.95</v>
      </c>
      <c r="E530" s="59">
        <v>897</v>
      </c>
      <c r="F530">
        <f>VLOOKUP(RevenueTable[[#This Row],[Units Sold]],Discounttable[],2)</f>
        <v>0.375</v>
      </c>
      <c r="G530">
        <f>ROUND((1-RevenueTable[[#This Row],[Discount on Total Revenue]])*RevenueTable[[#This Row],[Total Revenue]],2)</f>
        <v>560.63</v>
      </c>
    </row>
    <row r="531" spans="1:7" x14ac:dyDescent="0.3">
      <c r="A531" s="46">
        <v>43042</v>
      </c>
      <c r="B531" t="s">
        <v>13</v>
      </c>
      <c r="C531">
        <v>65</v>
      </c>
      <c r="D531" s="59">
        <v>14.95</v>
      </c>
      <c r="E531" s="59">
        <v>971.75</v>
      </c>
      <c r="F531">
        <f>VLOOKUP(RevenueTable[[#This Row],[Units Sold]],Discounttable[],2)</f>
        <v>0.375</v>
      </c>
      <c r="G531">
        <f>ROUND((1-RevenueTable[[#This Row],[Discount on Total Revenue]])*RevenueTable[[#This Row],[Total Revenue]],2)</f>
        <v>607.34</v>
      </c>
    </row>
    <row r="532" spans="1:7" x14ac:dyDescent="0.3">
      <c r="A532" s="46">
        <v>43042</v>
      </c>
      <c r="B532" t="s">
        <v>7</v>
      </c>
      <c r="C532">
        <v>85</v>
      </c>
      <c r="D532" s="59">
        <v>43.95</v>
      </c>
      <c r="E532" s="59">
        <v>3735.7500000000005</v>
      </c>
      <c r="F532">
        <f>VLOOKUP(RevenueTable[[#This Row],[Units Sold]],Discounttable[],2)</f>
        <v>0.375</v>
      </c>
      <c r="G532">
        <f>ROUND((1-RevenueTable[[#This Row],[Discount on Total Revenue]])*RevenueTable[[#This Row],[Total Revenue]],2)</f>
        <v>2334.84</v>
      </c>
    </row>
    <row r="533" spans="1:7" x14ac:dyDescent="0.3">
      <c r="A533" s="46">
        <v>43044</v>
      </c>
      <c r="B533" t="s">
        <v>13</v>
      </c>
      <c r="C533">
        <v>41</v>
      </c>
      <c r="D533" s="59">
        <v>14.95</v>
      </c>
      <c r="E533" s="59">
        <v>612.94999999999993</v>
      </c>
      <c r="F533">
        <f>VLOOKUP(RevenueTable[[#This Row],[Units Sold]],Discounttable[],2)</f>
        <v>0.25</v>
      </c>
      <c r="G533">
        <f>ROUND((1-RevenueTable[[#This Row],[Discount on Total Revenue]])*RevenueTable[[#This Row],[Total Revenue]],2)</f>
        <v>459.71</v>
      </c>
    </row>
    <row r="534" spans="1:7" x14ac:dyDescent="0.3">
      <c r="A534" s="46">
        <v>43044</v>
      </c>
      <c r="B534" t="s">
        <v>7</v>
      </c>
      <c r="C534">
        <v>7</v>
      </c>
      <c r="D534" s="59">
        <v>43.95</v>
      </c>
      <c r="E534" s="59">
        <v>307.65000000000003</v>
      </c>
      <c r="F534">
        <f>VLOOKUP(RevenueTable[[#This Row],[Units Sold]],Discounttable[],2)</f>
        <v>0</v>
      </c>
      <c r="G534">
        <f>ROUND((1-RevenueTable[[#This Row],[Discount on Total Revenue]])*RevenueTable[[#This Row],[Total Revenue]],2)</f>
        <v>307.64999999999998</v>
      </c>
    </row>
    <row r="535" spans="1:7" x14ac:dyDescent="0.3">
      <c r="A535" s="46">
        <v>43043</v>
      </c>
      <c r="B535" t="s">
        <v>13</v>
      </c>
      <c r="C535">
        <v>14</v>
      </c>
      <c r="D535" s="59">
        <v>14.95</v>
      </c>
      <c r="E535" s="59">
        <v>209.29999999999998</v>
      </c>
      <c r="F535">
        <f>VLOOKUP(RevenueTable[[#This Row],[Units Sold]],Discounttable[],2)</f>
        <v>0.25</v>
      </c>
      <c r="G535">
        <f>ROUND((1-RevenueTable[[#This Row],[Discount on Total Revenue]])*RevenueTable[[#This Row],[Total Revenue]],2)</f>
        <v>156.97999999999999</v>
      </c>
    </row>
    <row r="536" spans="1:7" x14ac:dyDescent="0.3">
      <c r="A536" s="46">
        <v>43042</v>
      </c>
      <c r="B536" t="s">
        <v>5</v>
      </c>
      <c r="C536">
        <v>156</v>
      </c>
      <c r="D536" s="59">
        <v>22.95</v>
      </c>
      <c r="E536" s="59">
        <v>3580.2</v>
      </c>
      <c r="F536">
        <f>VLOOKUP(RevenueTable[[#This Row],[Units Sold]],Discounttable[],2)</f>
        <v>0.5</v>
      </c>
      <c r="G536">
        <f>ROUND((1-RevenueTable[[#This Row],[Discount on Total Revenue]])*RevenueTable[[#This Row],[Total Revenue]],2)</f>
        <v>1790.1</v>
      </c>
    </row>
    <row r="537" spans="1:7" x14ac:dyDescent="0.3">
      <c r="A537" s="46">
        <v>43040</v>
      </c>
      <c r="B537" t="s">
        <v>13</v>
      </c>
      <c r="C537">
        <v>98</v>
      </c>
      <c r="D537" s="59">
        <v>14.95</v>
      </c>
      <c r="E537" s="59">
        <v>1465.1</v>
      </c>
      <c r="F537">
        <f>VLOOKUP(RevenueTable[[#This Row],[Units Sold]],Discounttable[],2)</f>
        <v>0.4375</v>
      </c>
      <c r="G537">
        <f>ROUND((1-RevenueTable[[#This Row],[Discount on Total Revenue]])*RevenueTable[[#This Row],[Total Revenue]],2)</f>
        <v>824.12</v>
      </c>
    </row>
    <row r="538" spans="1:7" x14ac:dyDescent="0.3">
      <c r="A538" s="46">
        <v>43047</v>
      </c>
      <c r="B538" t="s">
        <v>7</v>
      </c>
      <c r="C538">
        <v>4</v>
      </c>
      <c r="D538" s="59">
        <v>43.95</v>
      </c>
      <c r="E538" s="59">
        <v>175.8</v>
      </c>
      <c r="F538">
        <f>VLOOKUP(RevenueTable[[#This Row],[Units Sold]],Discounttable[],2)</f>
        <v>0</v>
      </c>
      <c r="G538">
        <f>ROUND((1-RevenueTable[[#This Row],[Discount on Total Revenue]])*RevenueTable[[#This Row],[Total Revenue]],2)</f>
        <v>175.8</v>
      </c>
    </row>
    <row r="539" spans="1:7" x14ac:dyDescent="0.3">
      <c r="A539" s="46">
        <v>43044</v>
      </c>
      <c r="B539" t="s">
        <v>8</v>
      </c>
      <c r="C539">
        <v>52</v>
      </c>
      <c r="D539" s="59">
        <v>21.95</v>
      </c>
      <c r="E539" s="59">
        <v>1141.3999999999999</v>
      </c>
      <c r="F539">
        <f>VLOOKUP(RevenueTable[[#This Row],[Units Sold]],Discounttable[],2)</f>
        <v>0.375</v>
      </c>
      <c r="G539">
        <f>ROUND((1-RevenueTable[[#This Row],[Discount on Total Revenue]])*RevenueTable[[#This Row],[Total Revenue]],2)</f>
        <v>713.38</v>
      </c>
    </row>
    <row r="540" spans="1:7" x14ac:dyDescent="0.3">
      <c r="A540" s="46">
        <v>43042</v>
      </c>
      <c r="B540" t="s">
        <v>13</v>
      </c>
      <c r="C540">
        <v>35</v>
      </c>
      <c r="D540" s="59">
        <v>14.95</v>
      </c>
      <c r="E540" s="59">
        <v>523.25</v>
      </c>
      <c r="F540">
        <f>VLOOKUP(RevenueTable[[#This Row],[Units Sold]],Discounttable[],2)</f>
        <v>0.25</v>
      </c>
      <c r="G540">
        <f>ROUND((1-RevenueTable[[#This Row],[Discount on Total Revenue]])*RevenueTable[[#This Row],[Total Revenue]],2)</f>
        <v>392.44</v>
      </c>
    </row>
    <row r="541" spans="1:7" x14ac:dyDescent="0.3">
      <c r="A541" s="46">
        <v>43046</v>
      </c>
      <c r="B541" t="s">
        <v>8</v>
      </c>
      <c r="C541">
        <v>101</v>
      </c>
      <c r="D541" s="59">
        <v>21.95</v>
      </c>
      <c r="E541" s="59">
        <v>2216.9499999999998</v>
      </c>
      <c r="F541">
        <f>VLOOKUP(RevenueTable[[#This Row],[Units Sold]],Discounttable[],2)</f>
        <v>0.4375</v>
      </c>
      <c r="G541">
        <f>ROUND((1-RevenueTable[[#This Row],[Discount on Total Revenue]])*RevenueTable[[#This Row],[Total Revenue]],2)</f>
        <v>1247.03</v>
      </c>
    </row>
    <row r="542" spans="1:7" x14ac:dyDescent="0.3">
      <c r="A542" s="46">
        <v>43041</v>
      </c>
      <c r="B542" t="s">
        <v>13</v>
      </c>
      <c r="C542">
        <v>177</v>
      </c>
      <c r="D542" s="59">
        <v>14.95</v>
      </c>
      <c r="E542" s="59">
        <v>2646.15</v>
      </c>
      <c r="F542">
        <f>VLOOKUP(RevenueTable[[#This Row],[Units Sold]],Discounttable[],2)</f>
        <v>0.55000000000000004</v>
      </c>
      <c r="G542">
        <f>ROUND((1-RevenueTable[[#This Row],[Discount on Total Revenue]])*RevenueTable[[#This Row],[Total Revenue]],2)</f>
        <v>1190.77</v>
      </c>
    </row>
    <row r="543" spans="1:7" x14ac:dyDescent="0.3">
      <c r="A543" s="46">
        <v>43043</v>
      </c>
      <c r="B543" t="s">
        <v>13</v>
      </c>
      <c r="C543">
        <v>158</v>
      </c>
      <c r="D543" s="59">
        <v>14.95</v>
      </c>
      <c r="E543" s="59">
        <v>2362.1</v>
      </c>
      <c r="F543">
        <f>VLOOKUP(RevenueTable[[#This Row],[Units Sold]],Discounttable[],2)</f>
        <v>0.5</v>
      </c>
      <c r="G543">
        <f>ROUND((1-RevenueTable[[#This Row],[Discount on Total Revenue]])*RevenueTable[[#This Row],[Total Revenue]],2)</f>
        <v>1181.05</v>
      </c>
    </row>
    <row r="544" spans="1:7" x14ac:dyDescent="0.3">
      <c r="A544" s="46">
        <v>43045</v>
      </c>
      <c r="B544" t="s">
        <v>8</v>
      </c>
      <c r="C544">
        <v>183</v>
      </c>
      <c r="D544" s="59">
        <v>21.95</v>
      </c>
      <c r="E544" s="59">
        <v>4016.85</v>
      </c>
      <c r="F544">
        <f>VLOOKUP(RevenueTable[[#This Row],[Units Sold]],Discounttable[],2)</f>
        <v>0.55000000000000004</v>
      </c>
      <c r="G544">
        <f>ROUND((1-RevenueTable[[#This Row],[Discount on Total Revenue]])*RevenueTable[[#This Row],[Total Revenue]],2)</f>
        <v>1807.58</v>
      </c>
    </row>
    <row r="545" spans="1:7" x14ac:dyDescent="0.3">
      <c r="A545" s="46">
        <v>43041</v>
      </c>
      <c r="B545" t="s">
        <v>13</v>
      </c>
      <c r="C545">
        <v>185</v>
      </c>
      <c r="D545" s="59">
        <v>14.95</v>
      </c>
      <c r="E545" s="59">
        <v>2765.75</v>
      </c>
      <c r="F545">
        <f>VLOOKUP(RevenueTable[[#This Row],[Units Sold]],Discounttable[],2)</f>
        <v>0.55000000000000004</v>
      </c>
      <c r="G545">
        <f>ROUND((1-RevenueTable[[#This Row],[Discount on Total Revenue]])*RevenueTable[[#This Row],[Total Revenue]],2)</f>
        <v>1244.5899999999999</v>
      </c>
    </row>
    <row r="546" spans="1:7" x14ac:dyDescent="0.3">
      <c r="A546" s="46">
        <v>43046</v>
      </c>
      <c r="B546" t="s">
        <v>7</v>
      </c>
      <c r="C546">
        <v>87</v>
      </c>
      <c r="D546" s="59">
        <v>43.95</v>
      </c>
      <c r="E546" s="59">
        <v>3823.65</v>
      </c>
      <c r="F546">
        <f>VLOOKUP(RevenueTable[[#This Row],[Units Sold]],Discounttable[],2)</f>
        <v>0.375</v>
      </c>
      <c r="G546">
        <f>ROUND((1-RevenueTable[[#This Row],[Discount on Total Revenue]])*RevenueTable[[#This Row],[Total Revenue]],2)</f>
        <v>2389.7800000000002</v>
      </c>
    </row>
    <row r="547" spans="1:7" x14ac:dyDescent="0.3">
      <c r="A547" s="46">
        <v>43046</v>
      </c>
      <c r="B547" t="s">
        <v>13</v>
      </c>
      <c r="C547">
        <v>148</v>
      </c>
      <c r="D547" s="59">
        <v>14.95</v>
      </c>
      <c r="E547" s="59">
        <v>2212.6</v>
      </c>
      <c r="F547">
        <f>VLOOKUP(RevenueTable[[#This Row],[Units Sold]],Discounttable[],2)</f>
        <v>0.5</v>
      </c>
      <c r="G547">
        <f>ROUND((1-RevenueTable[[#This Row],[Discount on Total Revenue]])*RevenueTable[[#This Row],[Total Revenue]],2)</f>
        <v>1106.3</v>
      </c>
    </row>
    <row r="548" spans="1:7" x14ac:dyDescent="0.3">
      <c r="A548" s="46">
        <v>43047</v>
      </c>
      <c r="B548" t="s">
        <v>8</v>
      </c>
      <c r="C548">
        <v>141</v>
      </c>
      <c r="D548" s="59">
        <v>21.95</v>
      </c>
      <c r="E548" s="59">
        <v>3094.95</v>
      </c>
      <c r="F548">
        <f>VLOOKUP(RevenueTable[[#This Row],[Units Sold]],Discounttable[],2)</f>
        <v>0.4375</v>
      </c>
      <c r="G548">
        <f>ROUND((1-RevenueTable[[#This Row],[Discount on Total Revenue]])*RevenueTable[[#This Row],[Total Revenue]],2)</f>
        <v>1740.91</v>
      </c>
    </row>
    <row r="549" spans="1:7" x14ac:dyDescent="0.3">
      <c r="A549" s="46">
        <v>43046</v>
      </c>
      <c r="B549" t="s">
        <v>13</v>
      </c>
      <c r="C549">
        <v>159</v>
      </c>
      <c r="D549" s="59">
        <v>14.95</v>
      </c>
      <c r="E549" s="59">
        <v>2377.0499999999997</v>
      </c>
      <c r="F549">
        <f>VLOOKUP(RevenueTable[[#This Row],[Units Sold]],Discounttable[],2)</f>
        <v>0.5</v>
      </c>
      <c r="G549">
        <f>ROUND((1-RevenueTable[[#This Row],[Discount on Total Revenue]])*RevenueTable[[#This Row],[Total Revenue]],2)</f>
        <v>1188.53</v>
      </c>
    </row>
    <row r="550" spans="1:7" x14ac:dyDescent="0.3">
      <c r="A550" s="46">
        <v>43040</v>
      </c>
      <c r="B550" t="s">
        <v>5</v>
      </c>
      <c r="C550">
        <v>97</v>
      </c>
      <c r="D550" s="59">
        <v>22.95</v>
      </c>
      <c r="E550" s="59">
        <v>2226.15</v>
      </c>
      <c r="F550">
        <f>VLOOKUP(RevenueTable[[#This Row],[Units Sold]],Discounttable[],2)</f>
        <v>0.4375</v>
      </c>
      <c r="G550">
        <f>ROUND((1-RevenueTable[[#This Row],[Discount on Total Revenue]])*RevenueTable[[#This Row],[Total Revenue]],2)</f>
        <v>1252.21</v>
      </c>
    </row>
    <row r="551" spans="1:7" x14ac:dyDescent="0.3">
      <c r="A551" s="46">
        <v>43043</v>
      </c>
      <c r="B551" t="s">
        <v>13</v>
      </c>
      <c r="C551">
        <v>164</v>
      </c>
      <c r="D551" s="59">
        <v>14.95</v>
      </c>
      <c r="E551" s="59">
        <v>2451.7999999999997</v>
      </c>
      <c r="F551">
        <f>VLOOKUP(RevenueTable[[#This Row],[Units Sold]],Discounttable[],2)</f>
        <v>0.5</v>
      </c>
      <c r="G551">
        <f>ROUND((1-RevenueTable[[#This Row],[Discount on Total Revenue]])*RevenueTable[[#This Row],[Total Revenue]],2)</f>
        <v>1225.9000000000001</v>
      </c>
    </row>
    <row r="552" spans="1:7" x14ac:dyDescent="0.3">
      <c r="A552" s="46">
        <v>43042</v>
      </c>
      <c r="B552" t="s">
        <v>8</v>
      </c>
      <c r="C552">
        <v>174</v>
      </c>
      <c r="D552" s="59">
        <v>21.95</v>
      </c>
      <c r="E552" s="59">
        <v>3819.2999999999997</v>
      </c>
      <c r="F552">
        <f>VLOOKUP(RevenueTable[[#This Row],[Units Sold]],Discounttable[],2)</f>
        <v>0.55000000000000004</v>
      </c>
      <c r="G552">
        <f>ROUND((1-RevenueTable[[#This Row],[Discount on Total Revenue]])*RevenueTable[[#This Row],[Total Revenue]],2)</f>
        <v>1718.69</v>
      </c>
    </row>
    <row r="553" spans="1:7" x14ac:dyDescent="0.3">
      <c r="A553" s="46">
        <v>43046</v>
      </c>
      <c r="B553" t="s">
        <v>13</v>
      </c>
      <c r="C553">
        <v>92</v>
      </c>
      <c r="D553" s="59">
        <v>14.95</v>
      </c>
      <c r="E553" s="59">
        <v>1375.3999999999999</v>
      </c>
      <c r="F553">
        <f>VLOOKUP(RevenueTable[[#This Row],[Units Sold]],Discounttable[],2)</f>
        <v>0.375</v>
      </c>
      <c r="G553">
        <f>ROUND((1-RevenueTable[[#This Row],[Discount on Total Revenue]])*RevenueTable[[#This Row],[Total Revenue]],2)</f>
        <v>859.63</v>
      </c>
    </row>
    <row r="554" spans="1:7" x14ac:dyDescent="0.3">
      <c r="A554" s="46">
        <v>43044</v>
      </c>
      <c r="B554" t="s">
        <v>7</v>
      </c>
      <c r="C554">
        <v>132</v>
      </c>
      <c r="D554" s="59">
        <v>43.95</v>
      </c>
      <c r="E554" s="59">
        <v>5801.4000000000005</v>
      </c>
      <c r="F554">
        <f>VLOOKUP(RevenueTable[[#This Row],[Units Sold]],Discounttable[],2)</f>
        <v>0.4375</v>
      </c>
      <c r="G554">
        <f>ROUND((1-RevenueTable[[#This Row],[Discount on Total Revenue]])*RevenueTable[[#This Row],[Total Revenue]],2)</f>
        <v>3263.29</v>
      </c>
    </row>
    <row r="555" spans="1:7" x14ac:dyDescent="0.3">
      <c r="A555" s="46">
        <v>43044</v>
      </c>
      <c r="B555" t="s">
        <v>7</v>
      </c>
      <c r="C555">
        <v>140</v>
      </c>
      <c r="D555" s="59">
        <v>43.95</v>
      </c>
      <c r="E555" s="59">
        <v>6153</v>
      </c>
      <c r="F555">
        <f>VLOOKUP(RevenueTable[[#This Row],[Units Sold]],Discounttable[],2)</f>
        <v>0.4375</v>
      </c>
      <c r="G555">
        <f>ROUND((1-RevenueTable[[#This Row],[Discount on Total Revenue]])*RevenueTable[[#This Row],[Total Revenue]],2)</f>
        <v>3461.06</v>
      </c>
    </row>
    <row r="556" spans="1:7" x14ac:dyDescent="0.3">
      <c r="A556" s="46">
        <v>43045</v>
      </c>
      <c r="B556" t="s">
        <v>7</v>
      </c>
      <c r="C556">
        <v>165</v>
      </c>
      <c r="D556" s="59">
        <v>43.95</v>
      </c>
      <c r="E556" s="59">
        <v>7251.7500000000009</v>
      </c>
      <c r="F556">
        <f>VLOOKUP(RevenueTable[[#This Row],[Units Sold]],Discounttable[],2)</f>
        <v>0.5</v>
      </c>
      <c r="G556">
        <f>ROUND((1-RevenueTable[[#This Row],[Discount on Total Revenue]])*RevenueTable[[#This Row],[Total Revenue]],2)</f>
        <v>3625.88</v>
      </c>
    </row>
    <row r="557" spans="1:7" x14ac:dyDescent="0.3">
      <c r="A557" s="46">
        <v>43044</v>
      </c>
      <c r="B557" t="s">
        <v>13</v>
      </c>
      <c r="C557">
        <v>89</v>
      </c>
      <c r="D557" s="59">
        <v>14.95</v>
      </c>
      <c r="E557" s="59">
        <v>1330.55</v>
      </c>
      <c r="F557">
        <f>VLOOKUP(RevenueTable[[#This Row],[Units Sold]],Discounttable[],2)</f>
        <v>0.375</v>
      </c>
      <c r="G557">
        <f>ROUND((1-RevenueTable[[#This Row],[Discount on Total Revenue]])*RevenueTable[[#This Row],[Total Revenue]],2)</f>
        <v>831.59</v>
      </c>
    </row>
    <row r="558" spans="1:7" x14ac:dyDescent="0.3">
      <c r="A558" s="46">
        <v>43041</v>
      </c>
      <c r="B558" t="s">
        <v>5</v>
      </c>
      <c r="C558">
        <v>95</v>
      </c>
      <c r="D558" s="59">
        <v>22.95</v>
      </c>
      <c r="E558" s="59">
        <v>2180.25</v>
      </c>
      <c r="F558">
        <f>VLOOKUP(RevenueTable[[#This Row],[Units Sold]],Discounttable[],2)</f>
        <v>0.375</v>
      </c>
      <c r="G558">
        <f>ROUND((1-RevenueTable[[#This Row],[Discount on Total Revenue]])*RevenueTable[[#This Row],[Total Revenue]],2)</f>
        <v>1362.66</v>
      </c>
    </row>
    <row r="559" spans="1:7" x14ac:dyDescent="0.3">
      <c r="A559" s="46">
        <v>43045</v>
      </c>
      <c r="B559" t="s">
        <v>13</v>
      </c>
      <c r="C559">
        <v>142</v>
      </c>
      <c r="D559" s="59">
        <v>14.95</v>
      </c>
      <c r="E559" s="59">
        <v>2122.9</v>
      </c>
      <c r="F559">
        <f>VLOOKUP(RevenueTable[[#This Row],[Units Sold]],Discounttable[],2)</f>
        <v>0.4375</v>
      </c>
      <c r="G559">
        <f>ROUND((1-RevenueTable[[#This Row],[Discount on Total Revenue]])*RevenueTable[[#This Row],[Total Revenue]],2)</f>
        <v>1194.1300000000001</v>
      </c>
    </row>
    <row r="560" spans="1:7" x14ac:dyDescent="0.3">
      <c r="A560" s="46">
        <v>43045</v>
      </c>
      <c r="B560" t="s">
        <v>8</v>
      </c>
      <c r="C560">
        <v>60</v>
      </c>
      <c r="D560" s="59">
        <v>21.95</v>
      </c>
      <c r="E560" s="59">
        <v>1317</v>
      </c>
      <c r="F560">
        <f>VLOOKUP(RevenueTable[[#This Row],[Units Sold]],Discounttable[],2)</f>
        <v>0.375</v>
      </c>
      <c r="G560">
        <f>ROUND((1-RevenueTable[[#This Row],[Discount on Total Revenue]])*RevenueTable[[#This Row],[Total Revenue]],2)</f>
        <v>823.13</v>
      </c>
    </row>
    <row r="561" spans="1:7" x14ac:dyDescent="0.3">
      <c r="A561" s="46">
        <v>43042</v>
      </c>
      <c r="B561" t="s">
        <v>8</v>
      </c>
      <c r="C561">
        <v>60</v>
      </c>
      <c r="D561" s="59">
        <v>21.95</v>
      </c>
      <c r="E561" s="59">
        <v>1317</v>
      </c>
      <c r="F561">
        <f>VLOOKUP(RevenueTable[[#This Row],[Units Sold]],Discounttable[],2)</f>
        <v>0.375</v>
      </c>
      <c r="G561">
        <f>ROUND((1-RevenueTable[[#This Row],[Discount on Total Revenue]])*RevenueTable[[#This Row],[Total Revenue]],2)</f>
        <v>823.13</v>
      </c>
    </row>
    <row r="562" spans="1:7" x14ac:dyDescent="0.3">
      <c r="A562" s="46">
        <v>43042</v>
      </c>
      <c r="B562" t="s">
        <v>13</v>
      </c>
      <c r="C562">
        <v>108</v>
      </c>
      <c r="D562" s="59">
        <v>14.95</v>
      </c>
      <c r="E562" s="59">
        <v>1614.6</v>
      </c>
      <c r="F562">
        <f>VLOOKUP(RevenueTable[[#This Row],[Units Sold]],Discounttable[],2)</f>
        <v>0.4375</v>
      </c>
      <c r="G562">
        <f>ROUND((1-RevenueTable[[#This Row],[Discount on Total Revenue]])*RevenueTable[[#This Row],[Total Revenue]],2)</f>
        <v>908.21</v>
      </c>
    </row>
    <row r="563" spans="1:7" x14ac:dyDescent="0.3">
      <c r="A563" s="46">
        <v>43041</v>
      </c>
      <c r="B563" t="s">
        <v>7</v>
      </c>
      <c r="C563">
        <v>61</v>
      </c>
      <c r="D563" s="59">
        <v>43.95</v>
      </c>
      <c r="E563" s="59">
        <v>2680.9500000000003</v>
      </c>
      <c r="F563">
        <f>VLOOKUP(RevenueTable[[#This Row],[Units Sold]],Discounttable[],2)</f>
        <v>0.375</v>
      </c>
      <c r="G563">
        <f>ROUND((1-RevenueTable[[#This Row],[Discount on Total Revenue]])*RevenueTable[[#This Row],[Total Revenue]],2)</f>
        <v>1675.59</v>
      </c>
    </row>
    <row r="564" spans="1:7" x14ac:dyDescent="0.3">
      <c r="A564" s="46">
        <v>43043</v>
      </c>
      <c r="B564" t="s">
        <v>5</v>
      </c>
      <c r="C564">
        <v>132</v>
      </c>
      <c r="D564" s="59">
        <v>22.95</v>
      </c>
      <c r="E564" s="59">
        <v>3029.4</v>
      </c>
      <c r="F564">
        <f>VLOOKUP(RevenueTable[[#This Row],[Units Sold]],Discounttable[],2)</f>
        <v>0.4375</v>
      </c>
      <c r="G564">
        <f>ROUND((1-RevenueTable[[#This Row],[Discount on Total Revenue]])*RevenueTable[[#This Row],[Total Revenue]],2)</f>
        <v>1704.04</v>
      </c>
    </row>
    <row r="565" spans="1:7" x14ac:dyDescent="0.3">
      <c r="A565" s="46">
        <v>43045</v>
      </c>
      <c r="B565" t="s">
        <v>7</v>
      </c>
      <c r="C565">
        <v>136</v>
      </c>
      <c r="D565" s="59">
        <v>43.95</v>
      </c>
      <c r="E565" s="59">
        <v>5977.2000000000007</v>
      </c>
      <c r="F565">
        <f>VLOOKUP(RevenueTable[[#This Row],[Units Sold]],Discounttable[],2)</f>
        <v>0.4375</v>
      </c>
      <c r="G565">
        <f>ROUND((1-RevenueTable[[#This Row],[Discount on Total Revenue]])*RevenueTable[[#This Row],[Total Revenue]],2)</f>
        <v>3362.18</v>
      </c>
    </row>
    <row r="566" spans="1:7" x14ac:dyDescent="0.3">
      <c r="A566" s="46">
        <v>43043</v>
      </c>
      <c r="B566" t="s">
        <v>8</v>
      </c>
      <c r="C566">
        <v>75</v>
      </c>
      <c r="D566" s="59">
        <v>21.95</v>
      </c>
      <c r="E566" s="59">
        <v>1646.25</v>
      </c>
      <c r="F566">
        <f>VLOOKUP(RevenueTable[[#This Row],[Units Sold]],Discounttable[],2)</f>
        <v>0.375</v>
      </c>
      <c r="G566">
        <f>ROUND((1-RevenueTable[[#This Row],[Discount on Total Revenue]])*RevenueTable[[#This Row],[Total Revenue]],2)</f>
        <v>1028.9100000000001</v>
      </c>
    </row>
    <row r="567" spans="1:7" x14ac:dyDescent="0.3">
      <c r="A567" s="46">
        <v>43043</v>
      </c>
      <c r="B567" t="s">
        <v>7</v>
      </c>
      <c r="C567">
        <v>14</v>
      </c>
      <c r="D567" s="59">
        <v>43.95</v>
      </c>
      <c r="E567" s="59">
        <v>615.30000000000007</v>
      </c>
      <c r="F567">
        <f>VLOOKUP(RevenueTable[[#This Row],[Units Sold]],Discounttable[],2)</f>
        <v>0.25</v>
      </c>
      <c r="G567">
        <f>ROUND((1-RevenueTable[[#This Row],[Discount on Total Revenue]])*RevenueTable[[#This Row],[Total Revenue]],2)</f>
        <v>461.48</v>
      </c>
    </row>
    <row r="568" spans="1:7" x14ac:dyDescent="0.3">
      <c r="A568" s="46">
        <v>43040</v>
      </c>
      <c r="B568" t="s">
        <v>8</v>
      </c>
      <c r="C568">
        <v>19</v>
      </c>
      <c r="D568" s="59">
        <v>21.95</v>
      </c>
      <c r="E568" s="59">
        <v>417.05</v>
      </c>
      <c r="F568">
        <f>VLOOKUP(RevenueTable[[#This Row],[Units Sold]],Discounttable[],2)</f>
        <v>0.25</v>
      </c>
      <c r="G568">
        <f>ROUND((1-RevenueTable[[#This Row],[Discount on Total Revenue]])*RevenueTable[[#This Row],[Total Revenue]],2)</f>
        <v>312.79000000000002</v>
      </c>
    </row>
    <row r="569" spans="1:7" x14ac:dyDescent="0.3">
      <c r="A569" s="46">
        <v>43047</v>
      </c>
      <c r="B569" t="s">
        <v>13</v>
      </c>
      <c r="C569">
        <v>40</v>
      </c>
      <c r="D569" s="59">
        <v>14.95</v>
      </c>
      <c r="E569" s="59">
        <v>598</v>
      </c>
      <c r="F569">
        <f>VLOOKUP(RevenueTable[[#This Row],[Units Sold]],Discounttable[],2)</f>
        <v>0.25</v>
      </c>
      <c r="G569">
        <f>ROUND((1-RevenueTable[[#This Row],[Discount on Total Revenue]])*RevenueTable[[#This Row],[Total Revenue]],2)</f>
        <v>448.5</v>
      </c>
    </row>
    <row r="570" spans="1:7" x14ac:dyDescent="0.3">
      <c r="A570" s="46">
        <v>43045</v>
      </c>
      <c r="B570" t="s">
        <v>13</v>
      </c>
      <c r="C570">
        <v>54</v>
      </c>
      <c r="D570" s="59">
        <v>14.95</v>
      </c>
      <c r="E570" s="59">
        <v>807.3</v>
      </c>
      <c r="F570">
        <f>VLOOKUP(RevenueTable[[#This Row],[Units Sold]],Discounttable[],2)</f>
        <v>0.375</v>
      </c>
      <c r="G570">
        <f>ROUND((1-RevenueTable[[#This Row],[Discount on Total Revenue]])*RevenueTable[[#This Row],[Total Revenue]],2)</f>
        <v>504.56</v>
      </c>
    </row>
    <row r="571" spans="1:7" x14ac:dyDescent="0.3">
      <c r="A571" s="46">
        <v>43041</v>
      </c>
      <c r="B571" t="s">
        <v>13</v>
      </c>
      <c r="C571">
        <v>11</v>
      </c>
      <c r="D571" s="59">
        <v>14.95</v>
      </c>
      <c r="E571" s="59">
        <v>164.45</v>
      </c>
      <c r="F571">
        <f>VLOOKUP(RevenueTable[[#This Row],[Units Sold]],Discounttable[],2)</f>
        <v>0</v>
      </c>
      <c r="G571">
        <f>ROUND((1-RevenueTable[[#This Row],[Discount on Total Revenue]])*RevenueTable[[#This Row],[Total Revenue]],2)</f>
        <v>164.45</v>
      </c>
    </row>
    <row r="572" spans="1:7" x14ac:dyDescent="0.3">
      <c r="A572" s="46">
        <v>43044</v>
      </c>
      <c r="B572" t="s">
        <v>5</v>
      </c>
      <c r="C572">
        <v>49</v>
      </c>
      <c r="D572" s="59">
        <v>22.95</v>
      </c>
      <c r="E572" s="59">
        <v>1124.55</v>
      </c>
      <c r="F572">
        <f>VLOOKUP(RevenueTable[[#This Row],[Units Sold]],Discounttable[],2)</f>
        <v>0.375</v>
      </c>
      <c r="G572">
        <f>ROUND((1-RevenueTable[[#This Row],[Discount on Total Revenue]])*RevenueTable[[#This Row],[Total Revenue]],2)</f>
        <v>702.84</v>
      </c>
    </row>
    <row r="573" spans="1:7" x14ac:dyDescent="0.3">
      <c r="A573" s="46">
        <v>43046</v>
      </c>
      <c r="B573" t="s">
        <v>8</v>
      </c>
      <c r="C573">
        <v>146</v>
      </c>
      <c r="D573" s="59">
        <v>21.95</v>
      </c>
      <c r="E573" s="59">
        <v>3204.7</v>
      </c>
      <c r="F573">
        <f>VLOOKUP(RevenueTable[[#This Row],[Units Sold]],Discounttable[],2)</f>
        <v>0.5</v>
      </c>
      <c r="G573">
        <f>ROUND((1-RevenueTable[[#This Row],[Discount on Total Revenue]])*RevenueTable[[#This Row],[Total Revenue]],2)</f>
        <v>1602.35</v>
      </c>
    </row>
    <row r="574" spans="1:7" x14ac:dyDescent="0.3">
      <c r="A574" s="46">
        <v>43045</v>
      </c>
      <c r="B574" t="s">
        <v>13</v>
      </c>
      <c r="C574">
        <v>162</v>
      </c>
      <c r="D574" s="59">
        <v>14.95</v>
      </c>
      <c r="E574" s="59">
        <v>2421.9</v>
      </c>
      <c r="F574">
        <f>VLOOKUP(RevenueTable[[#This Row],[Units Sold]],Discounttable[],2)</f>
        <v>0.5</v>
      </c>
      <c r="G574">
        <f>ROUND((1-RevenueTable[[#This Row],[Discount on Total Revenue]])*RevenueTable[[#This Row],[Total Revenue]],2)</f>
        <v>1210.95</v>
      </c>
    </row>
    <row r="575" spans="1:7" x14ac:dyDescent="0.3">
      <c r="A575" s="46">
        <v>43040</v>
      </c>
      <c r="B575" t="s">
        <v>13</v>
      </c>
      <c r="C575">
        <v>179</v>
      </c>
      <c r="D575" s="59">
        <v>14.95</v>
      </c>
      <c r="E575" s="59">
        <v>2676.0499999999997</v>
      </c>
      <c r="F575">
        <f>VLOOKUP(RevenueTable[[#This Row],[Units Sold]],Discounttable[],2)</f>
        <v>0.55000000000000004</v>
      </c>
      <c r="G575">
        <f>ROUND((1-RevenueTable[[#This Row],[Discount on Total Revenue]])*RevenueTable[[#This Row],[Total Revenue]],2)</f>
        <v>1204.22</v>
      </c>
    </row>
    <row r="576" spans="1:7" x14ac:dyDescent="0.3">
      <c r="A576" s="46">
        <v>43047</v>
      </c>
      <c r="B576" t="s">
        <v>8</v>
      </c>
      <c r="C576">
        <v>88</v>
      </c>
      <c r="D576" s="59">
        <v>21.95</v>
      </c>
      <c r="E576" s="59">
        <v>1931.6</v>
      </c>
      <c r="F576">
        <f>VLOOKUP(RevenueTable[[#This Row],[Units Sold]],Discounttable[],2)</f>
        <v>0.375</v>
      </c>
      <c r="G576">
        <f>ROUND((1-RevenueTable[[#This Row],[Discount on Total Revenue]])*RevenueTable[[#This Row],[Total Revenue]],2)</f>
        <v>1207.25</v>
      </c>
    </row>
    <row r="577" spans="1:7" x14ac:dyDescent="0.3">
      <c r="A577" s="46">
        <v>43040</v>
      </c>
      <c r="B577" t="s">
        <v>8</v>
      </c>
      <c r="C577">
        <v>104</v>
      </c>
      <c r="D577" s="59">
        <v>21.95</v>
      </c>
      <c r="E577" s="59">
        <v>2282.7999999999997</v>
      </c>
      <c r="F577">
        <f>VLOOKUP(RevenueTable[[#This Row],[Units Sold]],Discounttable[],2)</f>
        <v>0.4375</v>
      </c>
      <c r="G577">
        <f>ROUND((1-RevenueTable[[#This Row],[Discount on Total Revenue]])*RevenueTable[[#This Row],[Total Revenue]],2)</f>
        <v>1284.08</v>
      </c>
    </row>
    <row r="578" spans="1:7" x14ac:dyDescent="0.3">
      <c r="A578" s="46">
        <v>43043</v>
      </c>
      <c r="B578" t="s">
        <v>13</v>
      </c>
      <c r="C578">
        <v>56</v>
      </c>
      <c r="D578" s="59">
        <v>14.95</v>
      </c>
      <c r="E578" s="59">
        <v>837.19999999999993</v>
      </c>
      <c r="F578">
        <f>VLOOKUP(RevenueTable[[#This Row],[Units Sold]],Discounttable[],2)</f>
        <v>0.375</v>
      </c>
      <c r="G578">
        <f>ROUND((1-RevenueTable[[#This Row],[Discount on Total Revenue]])*RevenueTable[[#This Row],[Total Revenue]],2)</f>
        <v>523.25</v>
      </c>
    </row>
    <row r="579" spans="1:7" x14ac:dyDescent="0.3">
      <c r="A579" s="46">
        <v>43043</v>
      </c>
      <c r="B579" t="s">
        <v>8</v>
      </c>
      <c r="C579">
        <v>179</v>
      </c>
      <c r="D579" s="59">
        <v>21.95</v>
      </c>
      <c r="E579" s="59">
        <v>3929.0499999999997</v>
      </c>
      <c r="F579">
        <f>VLOOKUP(RevenueTable[[#This Row],[Units Sold]],Discounttable[],2)</f>
        <v>0.55000000000000004</v>
      </c>
      <c r="G579">
        <f>ROUND((1-RevenueTable[[#This Row],[Discount on Total Revenue]])*RevenueTable[[#This Row],[Total Revenue]],2)</f>
        <v>1768.07</v>
      </c>
    </row>
    <row r="580" spans="1:7" x14ac:dyDescent="0.3">
      <c r="A580" s="46">
        <v>43045</v>
      </c>
      <c r="B580" t="s">
        <v>13</v>
      </c>
      <c r="C580">
        <v>177</v>
      </c>
      <c r="D580" s="59">
        <v>14.95</v>
      </c>
      <c r="E580" s="59">
        <v>2646.15</v>
      </c>
      <c r="F580">
        <f>VLOOKUP(RevenueTable[[#This Row],[Units Sold]],Discounttable[],2)</f>
        <v>0.55000000000000004</v>
      </c>
      <c r="G580">
        <f>ROUND((1-RevenueTable[[#This Row],[Discount on Total Revenue]])*RevenueTable[[#This Row],[Total Revenue]],2)</f>
        <v>1190.77</v>
      </c>
    </row>
    <row r="581" spans="1:7" x14ac:dyDescent="0.3">
      <c r="A581" s="46">
        <v>43046</v>
      </c>
      <c r="B581" t="s">
        <v>8</v>
      </c>
      <c r="C581">
        <v>64</v>
      </c>
      <c r="D581" s="59">
        <v>21.95</v>
      </c>
      <c r="E581" s="59">
        <v>1404.8</v>
      </c>
      <c r="F581">
        <f>VLOOKUP(RevenueTable[[#This Row],[Units Sold]],Discounttable[],2)</f>
        <v>0.375</v>
      </c>
      <c r="G581">
        <f>ROUND((1-RevenueTable[[#This Row],[Discount on Total Revenue]])*RevenueTable[[#This Row],[Total Revenue]],2)</f>
        <v>878</v>
      </c>
    </row>
    <row r="582" spans="1:7" x14ac:dyDescent="0.3">
      <c r="A582" s="46">
        <v>43040</v>
      </c>
      <c r="B582" t="s">
        <v>7</v>
      </c>
      <c r="C582">
        <v>172</v>
      </c>
      <c r="D582" s="59">
        <v>43.95</v>
      </c>
      <c r="E582" s="59">
        <v>7559.4000000000005</v>
      </c>
      <c r="F582">
        <f>VLOOKUP(RevenueTable[[#This Row],[Units Sold]],Discounttable[],2)</f>
        <v>0.55000000000000004</v>
      </c>
      <c r="G582">
        <f>ROUND((1-RevenueTable[[#This Row],[Discount on Total Revenue]])*RevenueTable[[#This Row],[Total Revenue]],2)</f>
        <v>3401.73</v>
      </c>
    </row>
    <row r="583" spans="1:7" x14ac:dyDescent="0.3">
      <c r="A583" s="46">
        <v>43044</v>
      </c>
      <c r="B583" t="s">
        <v>13</v>
      </c>
      <c r="C583">
        <v>98</v>
      </c>
      <c r="D583" s="59">
        <v>14.95</v>
      </c>
      <c r="E583" s="59">
        <v>1465.1</v>
      </c>
      <c r="F583">
        <f>VLOOKUP(RevenueTable[[#This Row],[Units Sold]],Discounttable[],2)</f>
        <v>0.4375</v>
      </c>
      <c r="G583">
        <f>ROUND((1-RevenueTable[[#This Row],[Discount on Total Revenue]])*RevenueTable[[#This Row],[Total Revenue]],2)</f>
        <v>824.12</v>
      </c>
    </row>
    <row r="584" spans="1:7" x14ac:dyDescent="0.3">
      <c r="A584" s="46">
        <v>43046</v>
      </c>
      <c r="B584" t="s">
        <v>8</v>
      </c>
      <c r="C584">
        <v>131</v>
      </c>
      <c r="D584" s="59">
        <v>21.95</v>
      </c>
      <c r="E584" s="59">
        <v>2875.45</v>
      </c>
      <c r="F584">
        <f>VLOOKUP(RevenueTable[[#This Row],[Units Sold]],Discounttable[],2)</f>
        <v>0.4375</v>
      </c>
      <c r="G584">
        <f>ROUND((1-RevenueTable[[#This Row],[Discount on Total Revenue]])*RevenueTable[[#This Row],[Total Revenue]],2)</f>
        <v>1617.44</v>
      </c>
    </row>
    <row r="585" spans="1:7" x14ac:dyDescent="0.3">
      <c r="A585" s="46">
        <v>43043</v>
      </c>
      <c r="B585" t="s">
        <v>8</v>
      </c>
      <c r="C585">
        <v>73</v>
      </c>
      <c r="D585" s="59">
        <v>21.95</v>
      </c>
      <c r="E585" s="59">
        <v>1602.35</v>
      </c>
      <c r="F585">
        <f>VLOOKUP(RevenueTable[[#This Row],[Units Sold]],Discounttable[],2)</f>
        <v>0.375</v>
      </c>
      <c r="G585">
        <f>ROUND((1-RevenueTable[[#This Row],[Discount on Total Revenue]])*RevenueTable[[#This Row],[Total Revenue]],2)</f>
        <v>1001.47</v>
      </c>
    </row>
    <row r="586" spans="1:7" x14ac:dyDescent="0.3">
      <c r="A586" s="46">
        <v>43044</v>
      </c>
      <c r="B586" t="s">
        <v>7</v>
      </c>
      <c r="C586">
        <v>168</v>
      </c>
      <c r="D586" s="59">
        <v>43.95</v>
      </c>
      <c r="E586" s="59">
        <v>7383.6</v>
      </c>
      <c r="F586">
        <f>VLOOKUP(RevenueTable[[#This Row],[Units Sold]],Discounttable[],2)</f>
        <v>0.55000000000000004</v>
      </c>
      <c r="G586">
        <f>ROUND((1-RevenueTable[[#This Row],[Discount on Total Revenue]])*RevenueTable[[#This Row],[Total Revenue]],2)</f>
        <v>3322.62</v>
      </c>
    </row>
    <row r="587" spans="1:7" x14ac:dyDescent="0.3">
      <c r="A587" s="46">
        <v>43044</v>
      </c>
      <c r="B587" t="s">
        <v>13</v>
      </c>
      <c r="C587">
        <v>44</v>
      </c>
      <c r="D587" s="59">
        <v>14.95</v>
      </c>
      <c r="E587" s="59">
        <v>657.8</v>
      </c>
      <c r="F587">
        <f>VLOOKUP(RevenueTable[[#This Row],[Units Sold]],Discounttable[],2)</f>
        <v>0.25</v>
      </c>
      <c r="G587">
        <f>ROUND((1-RevenueTable[[#This Row],[Discount on Total Revenue]])*RevenueTable[[#This Row],[Total Revenue]],2)</f>
        <v>493.35</v>
      </c>
    </row>
    <row r="588" spans="1:7" x14ac:dyDescent="0.3">
      <c r="A588" s="46">
        <v>43045</v>
      </c>
      <c r="B588" t="s">
        <v>13</v>
      </c>
      <c r="C588">
        <v>163</v>
      </c>
      <c r="D588" s="59">
        <v>14.95</v>
      </c>
      <c r="E588" s="59">
        <v>2436.85</v>
      </c>
      <c r="F588">
        <f>VLOOKUP(RevenueTable[[#This Row],[Units Sold]],Discounttable[],2)</f>
        <v>0.5</v>
      </c>
      <c r="G588">
        <f>ROUND((1-RevenueTable[[#This Row],[Discount on Total Revenue]])*RevenueTable[[#This Row],[Total Revenue]],2)</f>
        <v>1218.43</v>
      </c>
    </row>
    <row r="589" spans="1:7" x14ac:dyDescent="0.3">
      <c r="A589" s="46">
        <v>43043</v>
      </c>
      <c r="B589" t="s">
        <v>13</v>
      </c>
      <c r="C589">
        <v>87</v>
      </c>
      <c r="D589" s="59">
        <v>14.95</v>
      </c>
      <c r="E589" s="59">
        <v>1300.6499999999999</v>
      </c>
      <c r="F589">
        <f>VLOOKUP(RevenueTable[[#This Row],[Units Sold]],Discounttable[],2)</f>
        <v>0.375</v>
      </c>
      <c r="G589">
        <f>ROUND((1-RevenueTable[[#This Row],[Discount on Total Revenue]])*RevenueTable[[#This Row],[Total Revenue]],2)</f>
        <v>812.91</v>
      </c>
    </row>
    <row r="590" spans="1:7" x14ac:dyDescent="0.3">
      <c r="A590" s="46">
        <v>43043</v>
      </c>
      <c r="B590" t="s">
        <v>8</v>
      </c>
      <c r="C590">
        <v>47</v>
      </c>
      <c r="D590" s="59">
        <v>21.95</v>
      </c>
      <c r="E590" s="59">
        <v>1031.6499999999999</v>
      </c>
      <c r="F590">
        <f>VLOOKUP(RevenueTable[[#This Row],[Units Sold]],Discounttable[],2)</f>
        <v>0.25</v>
      </c>
      <c r="G590">
        <f>ROUND((1-RevenueTable[[#This Row],[Discount on Total Revenue]])*RevenueTable[[#This Row],[Total Revenue]],2)</f>
        <v>773.74</v>
      </c>
    </row>
    <row r="591" spans="1:7" x14ac:dyDescent="0.3">
      <c r="A591" s="46">
        <v>43046</v>
      </c>
      <c r="B591" t="s">
        <v>13</v>
      </c>
      <c r="C591">
        <v>131</v>
      </c>
      <c r="D591" s="59">
        <v>14.95</v>
      </c>
      <c r="E591" s="59">
        <v>1958.4499999999998</v>
      </c>
      <c r="F591">
        <f>VLOOKUP(RevenueTable[[#This Row],[Units Sold]],Discounttable[],2)</f>
        <v>0.4375</v>
      </c>
      <c r="G591">
        <f>ROUND((1-RevenueTable[[#This Row],[Discount on Total Revenue]])*RevenueTable[[#This Row],[Total Revenue]],2)</f>
        <v>1101.6300000000001</v>
      </c>
    </row>
    <row r="592" spans="1:7" x14ac:dyDescent="0.3">
      <c r="A592" s="46">
        <v>43045</v>
      </c>
      <c r="B592" t="s">
        <v>13</v>
      </c>
      <c r="C592">
        <v>146</v>
      </c>
      <c r="D592" s="59">
        <v>14.95</v>
      </c>
      <c r="E592" s="59">
        <v>2182.6999999999998</v>
      </c>
      <c r="F592">
        <f>VLOOKUP(RevenueTable[[#This Row],[Units Sold]],Discounttable[],2)</f>
        <v>0.5</v>
      </c>
      <c r="G592">
        <f>ROUND((1-RevenueTable[[#This Row],[Discount on Total Revenue]])*RevenueTable[[#This Row],[Total Revenue]],2)</f>
        <v>1091.3499999999999</v>
      </c>
    </row>
    <row r="593" spans="1:7" x14ac:dyDescent="0.3">
      <c r="A593" s="46">
        <v>43042</v>
      </c>
      <c r="B593" t="s">
        <v>7</v>
      </c>
      <c r="C593">
        <v>82</v>
      </c>
      <c r="D593" s="59">
        <v>43.95</v>
      </c>
      <c r="E593" s="59">
        <v>3603.9</v>
      </c>
      <c r="F593">
        <f>VLOOKUP(RevenueTable[[#This Row],[Units Sold]],Discounttable[],2)</f>
        <v>0.375</v>
      </c>
      <c r="G593">
        <f>ROUND((1-RevenueTable[[#This Row],[Discount on Total Revenue]])*RevenueTable[[#This Row],[Total Revenue]],2)</f>
        <v>2252.44</v>
      </c>
    </row>
    <row r="594" spans="1:7" x14ac:dyDescent="0.3">
      <c r="A594" s="46">
        <v>43044</v>
      </c>
      <c r="B594" t="s">
        <v>8</v>
      </c>
      <c r="C594">
        <v>129</v>
      </c>
      <c r="D594" s="59">
        <v>21.95</v>
      </c>
      <c r="E594" s="59">
        <v>2831.5499999999997</v>
      </c>
      <c r="F594">
        <f>VLOOKUP(RevenueTable[[#This Row],[Units Sold]],Discounttable[],2)</f>
        <v>0.4375</v>
      </c>
      <c r="G594">
        <f>ROUND((1-RevenueTable[[#This Row],[Discount on Total Revenue]])*RevenueTable[[#This Row],[Total Revenue]],2)</f>
        <v>1592.75</v>
      </c>
    </row>
    <row r="595" spans="1:7" x14ac:dyDescent="0.3">
      <c r="A595" s="46">
        <v>43045</v>
      </c>
      <c r="B595" t="s">
        <v>5</v>
      </c>
      <c r="C595">
        <v>171</v>
      </c>
      <c r="D595" s="59">
        <v>22.95</v>
      </c>
      <c r="E595" s="59">
        <v>3924.45</v>
      </c>
      <c r="F595">
        <f>VLOOKUP(RevenueTable[[#This Row],[Units Sold]],Discounttable[],2)</f>
        <v>0.55000000000000004</v>
      </c>
      <c r="G595">
        <f>ROUND((1-RevenueTable[[#This Row],[Discount on Total Revenue]])*RevenueTable[[#This Row],[Total Revenue]],2)</f>
        <v>1766</v>
      </c>
    </row>
    <row r="596" spans="1:7" x14ac:dyDescent="0.3">
      <c r="A596" s="46">
        <v>43042</v>
      </c>
      <c r="B596" t="s">
        <v>13</v>
      </c>
      <c r="C596">
        <v>18</v>
      </c>
      <c r="D596" s="59">
        <v>14.95</v>
      </c>
      <c r="E596" s="59">
        <v>269.09999999999997</v>
      </c>
      <c r="F596">
        <f>VLOOKUP(RevenueTable[[#This Row],[Units Sold]],Discounttable[],2)</f>
        <v>0.25</v>
      </c>
      <c r="G596">
        <f>ROUND((1-RevenueTable[[#This Row],[Discount on Total Revenue]])*RevenueTable[[#This Row],[Total Revenue]],2)</f>
        <v>201.83</v>
      </c>
    </row>
    <row r="597" spans="1:7" x14ac:dyDescent="0.3">
      <c r="A597" s="46">
        <v>43043</v>
      </c>
      <c r="B597" t="s">
        <v>13</v>
      </c>
      <c r="C597">
        <v>54</v>
      </c>
      <c r="D597" s="59">
        <v>14.95</v>
      </c>
      <c r="E597" s="59">
        <v>807.3</v>
      </c>
      <c r="F597">
        <f>VLOOKUP(RevenueTable[[#This Row],[Units Sold]],Discounttable[],2)</f>
        <v>0.375</v>
      </c>
      <c r="G597">
        <f>ROUND((1-RevenueTable[[#This Row],[Discount on Total Revenue]])*RevenueTable[[#This Row],[Total Revenue]],2)</f>
        <v>504.56</v>
      </c>
    </row>
    <row r="598" spans="1:7" x14ac:dyDescent="0.3">
      <c r="A598" s="46">
        <v>43043</v>
      </c>
      <c r="B598" t="s">
        <v>8</v>
      </c>
      <c r="C598">
        <v>185</v>
      </c>
      <c r="D598" s="59">
        <v>21.95</v>
      </c>
      <c r="E598" s="59">
        <v>4060.75</v>
      </c>
      <c r="F598">
        <f>VLOOKUP(RevenueTable[[#This Row],[Units Sold]],Discounttable[],2)</f>
        <v>0.55000000000000004</v>
      </c>
      <c r="G598">
        <f>ROUND((1-RevenueTable[[#This Row],[Discount on Total Revenue]])*RevenueTable[[#This Row],[Total Revenue]],2)</f>
        <v>1827.34</v>
      </c>
    </row>
    <row r="599" spans="1:7" x14ac:dyDescent="0.3">
      <c r="A599" s="46">
        <v>43040</v>
      </c>
      <c r="B599" t="s">
        <v>5</v>
      </c>
      <c r="C599">
        <v>85</v>
      </c>
      <c r="D599" s="59">
        <v>22.95</v>
      </c>
      <c r="E599" s="59">
        <v>1950.75</v>
      </c>
      <c r="F599">
        <f>VLOOKUP(RevenueTable[[#This Row],[Units Sold]],Discounttable[],2)</f>
        <v>0.375</v>
      </c>
      <c r="G599">
        <f>ROUND((1-RevenueTable[[#This Row],[Discount on Total Revenue]])*RevenueTable[[#This Row],[Total Revenue]],2)</f>
        <v>1219.22</v>
      </c>
    </row>
    <row r="600" spans="1:7" x14ac:dyDescent="0.3">
      <c r="A600" s="46">
        <v>43045</v>
      </c>
      <c r="B600" t="s">
        <v>5</v>
      </c>
      <c r="C600">
        <v>106</v>
      </c>
      <c r="D600" s="59">
        <v>22.95</v>
      </c>
      <c r="E600" s="59">
        <v>2432.6999999999998</v>
      </c>
      <c r="F600">
        <f>VLOOKUP(RevenueTable[[#This Row],[Units Sold]],Discounttable[],2)</f>
        <v>0.4375</v>
      </c>
      <c r="G600">
        <f>ROUND((1-RevenueTable[[#This Row],[Discount on Total Revenue]])*RevenueTable[[#This Row],[Total Revenue]],2)</f>
        <v>1368.39</v>
      </c>
    </row>
    <row r="601" spans="1:7" x14ac:dyDescent="0.3">
      <c r="A601" s="46">
        <v>43047</v>
      </c>
      <c r="B601" t="s">
        <v>7</v>
      </c>
      <c r="C601">
        <v>136</v>
      </c>
      <c r="D601" s="59">
        <v>43.95</v>
      </c>
      <c r="E601" s="59">
        <v>5977.2000000000007</v>
      </c>
      <c r="F601">
        <f>VLOOKUP(RevenueTable[[#This Row],[Units Sold]],Discounttable[],2)</f>
        <v>0.4375</v>
      </c>
      <c r="G601">
        <f>ROUND((1-RevenueTable[[#This Row],[Discount on Total Revenue]])*RevenueTable[[#This Row],[Total Revenue]],2)</f>
        <v>3362.18</v>
      </c>
    </row>
    <row r="602" spans="1:7" x14ac:dyDescent="0.3">
      <c r="A602" s="46">
        <v>43043</v>
      </c>
      <c r="B602" t="s">
        <v>7</v>
      </c>
      <c r="C602">
        <v>96</v>
      </c>
      <c r="D602" s="59">
        <v>43.95</v>
      </c>
      <c r="E602" s="59">
        <v>4219.2000000000007</v>
      </c>
      <c r="F602">
        <f>VLOOKUP(RevenueTable[[#This Row],[Units Sold]],Discounttable[],2)</f>
        <v>0.4375</v>
      </c>
      <c r="G602">
        <f>ROUND((1-RevenueTable[[#This Row],[Discount on Total Revenue]])*RevenueTable[[#This Row],[Total Revenue]],2)</f>
        <v>2373.3000000000002</v>
      </c>
    </row>
    <row r="603" spans="1:7" x14ac:dyDescent="0.3">
      <c r="A603" s="46">
        <v>43043</v>
      </c>
      <c r="B603" t="s">
        <v>5</v>
      </c>
      <c r="C603">
        <v>45</v>
      </c>
      <c r="D603" s="59">
        <v>22.95</v>
      </c>
      <c r="E603" s="59">
        <v>1032.75</v>
      </c>
      <c r="F603">
        <f>VLOOKUP(RevenueTable[[#This Row],[Units Sold]],Discounttable[],2)</f>
        <v>0.25</v>
      </c>
      <c r="G603">
        <f>ROUND((1-RevenueTable[[#This Row],[Discount on Total Revenue]])*RevenueTable[[#This Row],[Total Revenue]],2)</f>
        <v>774.56</v>
      </c>
    </row>
    <row r="604" spans="1:7" x14ac:dyDescent="0.3">
      <c r="A604" s="46">
        <v>43044</v>
      </c>
      <c r="B604" t="s">
        <v>13</v>
      </c>
      <c r="C604">
        <v>190</v>
      </c>
      <c r="D604" s="59">
        <v>14.95</v>
      </c>
      <c r="E604" s="59">
        <v>2840.5</v>
      </c>
      <c r="F604">
        <f>VLOOKUP(RevenueTable[[#This Row],[Units Sold]],Discounttable[],2)</f>
        <v>0.55000000000000004</v>
      </c>
      <c r="G604">
        <f>ROUND((1-RevenueTable[[#This Row],[Discount on Total Revenue]])*RevenueTable[[#This Row],[Total Revenue]],2)</f>
        <v>1278.23</v>
      </c>
    </row>
    <row r="605" spans="1:7" x14ac:dyDescent="0.3">
      <c r="A605" s="46">
        <v>43042</v>
      </c>
      <c r="B605" t="s">
        <v>8</v>
      </c>
      <c r="C605">
        <v>129</v>
      </c>
      <c r="D605" s="59">
        <v>21.95</v>
      </c>
      <c r="E605" s="59">
        <v>2831.5499999999997</v>
      </c>
      <c r="F605">
        <f>VLOOKUP(RevenueTable[[#This Row],[Units Sold]],Discounttable[],2)</f>
        <v>0.4375</v>
      </c>
      <c r="G605">
        <f>ROUND((1-RevenueTable[[#This Row],[Discount on Total Revenue]])*RevenueTable[[#This Row],[Total Revenue]],2)</f>
        <v>1592.75</v>
      </c>
    </row>
    <row r="606" spans="1:7" x14ac:dyDescent="0.3">
      <c r="A606" s="46">
        <v>43043</v>
      </c>
      <c r="B606" t="s">
        <v>5</v>
      </c>
      <c r="C606">
        <v>140</v>
      </c>
      <c r="D606" s="59">
        <v>22.95</v>
      </c>
      <c r="E606" s="59">
        <v>3213</v>
      </c>
      <c r="F606">
        <f>VLOOKUP(RevenueTable[[#This Row],[Units Sold]],Discounttable[],2)</f>
        <v>0.4375</v>
      </c>
      <c r="G606">
        <f>ROUND((1-RevenueTable[[#This Row],[Discount on Total Revenue]])*RevenueTable[[#This Row],[Total Revenue]],2)</f>
        <v>1807.31</v>
      </c>
    </row>
    <row r="607" spans="1:7" x14ac:dyDescent="0.3">
      <c r="A607" s="46">
        <v>43047</v>
      </c>
      <c r="B607" t="s">
        <v>8</v>
      </c>
      <c r="C607">
        <v>19</v>
      </c>
      <c r="D607" s="59">
        <v>21.95</v>
      </c>
      <c r="E607" s="59">
        <v>417.05</v>
      </c>
      <c r="F607">
        <f>VLOOKUP(RevenueTable[[#This Row],[Units Sold]],Discounttable[],2)</f>
        <v>0.25</v>
      </c>
      <c r="G607">
        <f>ROUND((1-RevenueTable[[#This Row],[Discount on Total Revenue]])*RevenueTable[[#This Row],[Total Revenue]],2)</f>
        <v>312.79000000000002</v>
      </c>
    </row>
    <row r="608" spans="1:7" x14ac:dyDescent="0.3">
      <c r="A608" s="46">
        <v>43046</v>
      </c>
      <c r="B608" t="s">
        <v>5</v>
      </c>
      <c r="C608">
        <v>88</v>
      </c>
      <c r="D608" s="59">
        <v>22.95</v>
      </c>
      <c r="E608" s="59">
        <v>2019.6</v>
      </c>
      <c r="F608">
        <f>VLOOKUP(RevenueTable[[#This Row],[Units Sold]],Discounttable[],2)</f>
        <v>0.375</v>
      </c>
      <c r="G608">
        <f>ROUND((1-RevenueTable[[#This Row],[Discount on Total Revenue]])*RevenueTable[[#This Row],[Total Revenue]],2)</f>
        <v>1262.25</v>
      </c>
    </row>
    <row r="609" spans="1:7" x14ac:dyDescent="0.3">
      <c r="A609" s="46">
        <v>43040</v>
      </c>
      <c r="B609" t="s">
        <v>8</v>
      </c>
      <c r="C609">
        <v>132</v>
      </c>
      <c r="D609" s="59">
        <v>21.95</v>
      </c>
      <c r="E609" s="59">
        <v>2897.4</v>
      </c>
      <c r="F609">
        <f>VLOOKUP(RevenueTable[[#This Row],[Units Sold]],Discounttable[],2)</f>
        <v>0.4375</v>
      </c>
      <c r="G609">
        <f>ROUND((1-RevenueTable[[#This Row],[Discount on Total Revenue]])*RevenueTable[[#This Row],[Total Revenue]],2)</f>
        <v>1629.79</v>
      </c>
    </row>
    <row r="610" spans="1:7" x14ac:dyDescent="0.3">
      <c r="A610" s="46">
        <v>43040</v>
      </c>
      <c r="B610" t="s">
        <v>7</v>
      </c>
      <c r="C610">
        <v>38</v>
      </c>
      <c r="D610" s="59">
        <v>43.95</v>
      </c>
      <c r="E610" s="59">
        <v>1670.1000000000001</v>
      </c>
      <c r="F610">
        <f>VLOOKUP(RevenueTable[[#This Row],[Units Sold]],Discounttable[],2)</f>
        <v>0.25</v>
      </c>
      <c r="G610">
        <f>ROUND((1-RevenueTable[[#This Row],[Discount on Total Revenue]])*RevenueTable[[#This Row],[Total Revenue]],2)</f>
        <v>1252.58</v>
      </c>
    </row>
    <row r="611" spans="1:7" x14ac:dyDescent="0.3">
      <c r="A611" s="46">
        <v>43046</v>
      </c>
      <c r="B611" t="s">
        <v>8</v>
      </c>
      <c r="C611">
        <v>82</v>
      </c>
      <c r="D611" s="59">
        <v>21.95</v>
      </c>
      <c r="E611" s="59">
        <v>1799.8999999999999</v>
      </c>
      <c r="F611">
        <f>VLOOKUP(RevenueTable[[#This Row],[Units Sold]],Discounttable[],2)</f>
        <v>0.375</v>
      </c>
      <c r="G611">
        <f>ROUND((1-RevenueTable[[#This Row],[Discount on Total Revenue]])*RevenueTable[[#This Row],[Total Revenue]],2)</f>
        <v>1124.94</v>
      </c>
    </row>
    <row r="612" spans="1:7" x14ac:dyDescent="0.3">
      <c r="A612" s="46">
        <v>43047</v>
      </c>
      <c r="B612" t="s">
        <v>7</v>
      </c>
      <c r="C612">
        <v>101</v>
      </c>
      <c r="D612" s="59">
        <v>43.95</v>
      </c>
      <c r="E612" s="59">
        <v>4438.9500000000007</v>
      </c>
      <c r="F612">
        <f>VLOOKUP(RevenueTable[[#This Row],[Units Sold]],Discounttable[],2)</f>
        <v>0.4375</v>
      </c>
      <c r="G612">
        <f>ROUND((1-RevenueTable[[#This Row],[Discount on Total Revenue]])*RevenueTable[[#This Row],[Total Revenue]],2)</f>
        <v>2496.91</v>
      </c>
    </row>
    <row r="613" spans="1:7" x14ac:dyDescent="0.3">
      <c r="A613" s="46">
        <v>43046</v>
      </c>
      <c r="B613" t="s">
        <v>13</v>
      </c>
      <c r="C613">
        <v>89</v>
      </c>
      <c r="D613" s="59">
        <v>14.95</v>
      </c>
      <c r="E613" s="59">
        <v>1330.55</v>
      </c>
      <c r="F613">
        <f>VLOOKUP(RevenueTable[[#This Row],[Units Sold]],Discounttable[],2)</f>
        <v>0.375</v>
      </c>
      <c r="G613">
        <f>ROUND((1-RevenueTable[[#This Row],[Discount on Total Revenue]])*RevenueTable[[#This Row],[Total Revenue]],2)</f>
        <v>831.59</v>
      </c>
    </row>
    <row r="614" spans="1:7" x14ac:dyDescent="0.3">
      <c r="A614" s="46">
        <v>43045</v>
      </c>
      <c r="B614" t="s">
        <v>13</v>
      </c>
      <c r="C614">
        <v>59</v>
      </c>
      <c r="D614" s="59">
        <v>14.95</v>
      </c>
      <c r="E614" s="59">
        <v>882.05</v>
      </c>
      <c r="F614">
        <f>VLOOKUP(RevenueTable[[#This Row],[Units Sold]],Discounttable[],2)</f>
        <v>0.375</v>
      </c>
      <c r="G614">
        <f>ROUND((1-RevenueTable[[#This Row],[Discount on Total Revenue]])*RevenueTable[[#This Row],[Total Revenue]],2)</f>
        <v>551.28</v>
      </c>
    </row>
    <row r="615" spans="1:7" x14ac:dyDescent="0.3">
      <c r="A615" s="46">
        <v>43042</v>
      </c>
      <c r="B615" t="s">
        <v>8</v>
      </c>
      <c r="C615">
        <v>135</v>
      </c>
      <c r="D615" s="59">
        <v>21.95</v>
      </c>
      <c r="E615" s="59">
        <v>2963.25</v>
      </c>
      <c r="F615">
        <f>VLOOKUP(RevenueTable[[#This Row],[Units Sold]],Discounttable[],2)</f>
        <v>0.4375</v>
      </c>
      <c r="G615">
        <f>ROUND((1-RevenueTable[[#This Row],[Discount on Total Revenue]])*RevenueTable[[#This Row],[Total Revenue]],2)</f>
        <v>1666.83</v>
      </c>
    </row>
    <row r="616" spans="1:7" x14ac:dyDescent="0.3">
      <c r="A616" s="46">
        <v>43046</v>
      </c>
      <c r="B616" t="s">
        <v>7</v>
      </c>
      <c r="C616">
        <v>151</v>
      </c>
      <c r="D616" s="59">
        <v>43.95</v>
      </c>
      <c r="E616" s="59">
        <v>6636.4500000000007</v>
      </c>
      <c r="F616">
        <f>VLOOKUP(RevenueTable[[#This Row],[Units Sold]],Discounttable[],2)</f>
        <v>0.5</v>
      </c>
      <c r="G616">
        <f>ROUND((1-RevenueTable[[#This Row],[Discount on Total Revenue]])*RevenueTable[[#This Row],[Total Revenue]],2)</f>
        <v>3318.23</v>
      </c>
    </row>
    <row r="617" spans="1:7" x14ac:dyDescent="0.3">
      <c r="A617" s="46">
        <v>43045</v>
      </c>
      <c r="B617" t="s">
        <v>7</v>
      </c>
      <c r="C617">
        <v>143</v>
      </c>
      <c r="D617" s="59">
        <v>43.95</v>
      </c>
      <c r="E617" s="59">
        <v>6284.85</v>
      </c>
      <c r="F617">
        <f>VLOOKUP(RevenueTable[[#This Row],[Units Sold]],Discounttable[],2)</f>
        <v>0.4375</v>
      </c>
      <c r="G617">
        <f>ROUND((1-RevenueTable[[#This Row],[Discount on Total Revenue]])*RevenueTable[[#This Row],[Total Revenue]],2)</f>
        <v>3535.23</v>
      </c>
    </row>
    <row r="618" spans="1:7" x14ac:dyDescent="0.3">
      <c r="A618" s="46">
        <v>43044</v>
      </c>
      <c r="B618" t="s">
        <v>13</v>
      </c>
      <c r="C618">
        <v>50</v>
      </c>
      <c r="D618" s="59">
        <v>14.95</v>
      </c>
      <c r="E618" s="59">
        <v>747.5</v>
      </c>
      <c r="F618">
        <f>VLOOKUP(RevenueTable[[#This Row],[Units Sold]],Discounttable[],2)</f>
        <v>0.375</v>
      </c>
      <c r="G618">
        <f>ROUND((1-RevenueTable[[#This Row],[Discount on Total Revenue]])*RevenueTable[[#This Row],[Total Revenue]],2)</f>
        <v>467.19</v>
      </c>
    </row>
    <row r="619" spans="1:7" x14ac:dyDescent="0.3">
      <c r="A619" s="46">
        <v>43043</v>
      </c>
      <c r="B619" t="s">
        <v>7</v>
      </c>
      <c r="C619">
        <v>135</v>
      </c>
      <c r="D619" s="59">
        <v>43.95</v>
      </c>
      <c r="E619" s="59">
        <v>5933.25</v>
      </c>
      <c r="F619">
        <f>VLOOKUP(RevenueTable[[#This Row],[Units Sold]],Discounttable[],2)</f>
        <v>0.4375</v>
      </c>
      <c r="G619">
        <f>ROUND((1-RevenueTable[[#This Row],[Discount on Total Revenue]])*RevenueTable[[#This Row],[Total Revenue]],2)</f>
        <v>3337.45</v>
      </c>
    </row>
    <row r="620" spans="1:7" x14ac:dyDescent="0.3">
      <c r="A620" s="46">
        <v>43045</v>
      </c>
      <c r="B620" t="s">
        <v>5</v>
      </c>
      <c r="C620">
        <v>64</v>
      </c>
      <c r="D620" s="59">
        <v>22.95</v>
      </c>
      <c r="E620" s="59">
        <v>1468.8</v>
      </c>
      <c r="F620">
        <f>VLOOKUP(RevenueTable[[#This Row],[Units Sold]],Discounttable[],2)</f>
        <v>0.375</v>
      </c>
      <c r="G620">
        <f>ROUND((1-RevenueTable[[#This Row],[Discount on Total Revenue]])*RevenueTable[[#This Row],[Total Revenue]],2)</f>
        <v>918</v>
      </c>
    </row>
    <row r="621" spans="1:7" x14ac:dyDescent="0.3">
      <c r="A621" s="46">
        <v>43042</v>
      </c>
      <c r="B621" t="s">
        <v>13</v>
      </c>
      <c r="C621">
        <v>188</v>
      </c>
      <c r="D621" s="59">
        <v>14.95</v>
      </c>
      <c r="E621" s="59">
        <v>2810.6</v>
      </c>
      <c r="F621">
        <f>VLOOKUP(RevenueTable[[#This Row],[Units Sold]],Discounttable[],2)</f>
        <v>0.55000000000000004</v>
      </c>
      <c r="G621">
        <f>ROUND((1-RevenueTable[[#This Row],[Discount on Total Revenue]])*RevenueTable[[#This Row],[Total Revenue]],2)</f>
        <v>1264.77</v>
      </c>
    </row>
    <row r="622" spans="1:7" x14ac:dyDescent="0.3">
      <c r="A622" s="46">
        <v>43045</v>
      </c>
      <c r="B622" t="s">
        <v>5</v>
      </c>
      <c r="C622">
        <v>40</v>
      </c>
      <c r="D622" s="59">
        <v>22.95</v>
      </c>
      <c r="E622" s="59">
        <v>918</v>
      </c>
      <c r="F622">
        <f>VLOOKUP(RevenueTable[[#This Row],[Units Sold]],Discounttable[],2)</f>
        <v>0.25</v>
      </c>
      <c r="G622">
        <f>ROUND((1-RevenueTable[[#This Row],[Discount on Total Revenue]])*RevenueTable[[#This Row],[Total Revenue]],2)</f>
        <v>688.5</v>
      </c>
    </row>
    <row r="623" spans="1:7" x14ac:dyDescent="0.3">
      <c r="A623" s="46">
        <v>43042</v>
      </c>
      <c r="B623" t="s">
        <v>8</v>
      </c>
      <c r="C623">
        <v>6</v>
      </c>
      <c r="D623" s="59">
        <v>21.95</v>
      </c>
      <c r="E623" s="59">
        <v>131.69999999999999</v>
      </c>
      <c r="F623">
        <f>VLOOKUP(RevenueTable[[#This Row],[Units Sold]],Discounttable[],2)</f>
        <v>0</v>
      </c>
      <c r="G623">
        <f>ROUND((1-RevenueTable[[#This Row],[Discount on Total Revenue]])*RevenueTable[[#This Row],[Total Revenue]],2)</f>
        <v>131.69999999999999</v>
      </c>
    </row>
    <row r="624" spans="1:7" x14ac:dyDescent="0.3">
      <c r="A624" s="46">
        <v>43041</v>
      </c>
      <c r="B624" t="s">
        <v>13</v>
      </c>
      <c r="C624">
        <v>18</v>
      </c>
      <c r="D624" s="59">
        <v>14.95</v>
      </c>
      <c r="E624" s="59">
        <v>269.09999999999997</v>
      </c>
      <c r="F624">
        <f>VLOOKUP(RevenueTable[[#This Row],[Units Sold]],Discounttable[],2)</f>
        <v>0.25</v>
      </c>
      <c r="G624">
        <f>ROUND((1-RevenueTable[[#This Row],[Discount on Total Revenue]])*RevenueTable[[#This Row],[Total Revenue]],2)</f>
        <v>201.83</v>
      </c>
    </row>
    <row r="625" spans="1:7" x14ac:dyDescent="0.3">
      <c r="A625" s="46">
        <v>43045</v>
      </c>
      <c r="B625" t="s">
        <v>5</v>
      </c>
      <c r="C625">
        <v>126</v>
      </c>
      <c r="D625" s="59">
        <v>22.95</v>
      </c>
      <c r="E625" s="59">
        <v>2891.7</v>
      </c>
      <c r="F625">
        <f>VLOOKUP(RevenueTable[[#This Row],[Units Sold]],Discounttable[],2)</f>
        <v>0.4375</v>
      </c>
      <c r="G625">
        <f>ROUND((1-RevenueTable[[#This Row],[Discount on Total Revenue]])*RevenueTable[[#This Row],[Total Revenue]],2)</f>
        <v>1626.58</v>
      </c>
    </row>
    <row r="626" spans="1:7" x14ac:dyDescent="0.3">
      <c r="A626" s="46">
        <v>43044</v>
      </c>
      <c r="B626" t="s">
        <v>5</v>
      </c>
      <c r="C626">
        <v>136</v>
      </c>
      <c r="D626" s="59">
        <v>22.95</v>
      </c>
      <c r="E626" s="59">
        <v>3121.2</v>
      </c>
      <c r="F626">
        <f>VLOOKUP(RevenueTable[[#This Row],[Units Sold]],Discounttable[],2)</f>
        <v>0.4375</v>
      </c>
      <c r="G626">
        <f>ROUND((1-RevenueTable[[#This Row],[Discount on Total Revenue]])*RevenueTable[[#This Row],[Total Revenue]],2)</f>
        <v>1755.68</v>
      </c>
    </row>
    <row r="627" spans="1:7" x14ac:dyDescent="0.3">
      <c r="A627" s="46">
        <v>43047</v>
      </c>
      <c r="B627" t="s">
        <v>8</v>
      </c>
      <c r="C627">
        <v>101</v>
      </c>
      <c r="D627" s="59">
        <v>21.95</v>
      </c>
      <c r="E627" s="59">
        <v>2216.9499999999998</v>
      </c>
      <c r="F627">
        <f>VLOOKUP(RevenueTable[[#This Row],[Units Sold]],Discounttable[],2)</f>
        <v>0.4375</v>
      </c>
      <c r="G627">
        <f>ROUND((1-RevenueTable[[#This Row],[Discount on Total Revenue]])*RevenueTable[[#This Row],[Total Revenue]],2)</f>
        <v>1247.03</v>
      </c>
    </row>
    <row r="628" spans="1:7" x14ac:dyDescent="0.3">
      <c r="A628" s="46">
        <v>43042</v>
      </c>
      <c r="B628" t="s">
        <v>5</v>
      </c>
      <c r="C628">
        <v>23</v>
      </c>
      <c r="D628" s="59">
        <v>22.95</v>
      </c>
      <c r="E628" s="59">
        <v>527.85</v>
      </c>
      <c r="F628">
        <f>VLOOKUP(RevenueTable[[#This Row],[Units Sold]],Discounttable[],2)</f>
        <v>0.25</v>
      </c>
      <c r="G628">
        <f>ROUND((1-RevenueTable[[#This Row],[Discount on Total Revenue]])*RevenueTable[[#This Row],[Total Revenue]],2)</f>
        <v>395.89</v>
      </c>
    </row>
    <row r="629" spans="1:7" x14ac:dyDescent="0.3">
      <c r="A629" s="46">
        <v>43040</v>
      </c>
      <c r="B629" t="s">
        <v>7</v>
      </c>
      <c r="C629">
        <v>42</v>
      </c>
      <c r="D629" s="59">
        <v>43.95</v>
      </c>
      <c r="E629" s="59">
        <v>1845.9</v>
      </c>
      <c r="F629">
        <f>VLOOKUP(RevenueTable[[#This Row],[Units Sold]],Discounttable[],2)</f>
        <v>0.25</v>
      </c>
      <c r="G629">
        <f>ROUND((1-RevenueTable[[#This Row],[Discount on Total Revenue]])*RevenueTable[[#This Row],[Total Revenue]],2)</f>
        <v>1384.43</v>
      </c>
    </row>
    <row r="630" spans="1:7" x14ac:dyDescent="0.3">
      <c r="A630" s="46">
        <v>43043</v>
      </c>
      <c r="B630" t="s">
        <v>7</v>
      </c>
      <c r="C630">
        <v>98</v>
      </c>
      <c r="D630" s="59">
        <v>43.95</v>
      </c>
      <c r="E630" s="59">
        <v>4307.1000000000004</v>
      </c>
      <c r="F630">
        <f>VLOOKUP(RevenueTable[[#This Row],[Units Sold]],Discounttable[],2)</f>
        <v>0.4375</v>
      </c>
      <c r="G630">
        <f>ROUND((1-RevenueTable[[#This Row],[Discount on Total Revenue]])*RevenueTable[[#This Row],[Total Revenue]],2)</f>
        <v>2422.7399999999998</v>
      </c>
    </row>
    <row r="631" spans="1:7" x14ac:dyDescent="0.3">
      <c r="A631" s="46">
        <v>43040</v>
      </c>
      <c r="B631" t="s">
        <v>5</v>
      </c>
      <c r="C631">
        <v>104</v>
      </c>
      <c r="D631" s="59">
        <v>22.95</v>
      </c>
      <c r="E631" s="59">
        <v>2386.7999999999997</v>
      </c>
      <c r="F631">
        <f>VLOOKUP(RevenueTable[[#This Row],[Units Sold]],Discounttable[],2)</f>
        <v>0.4375</v>
      </c>
      <c r="G631">
        <f>ROUND((1-RevenueTable[[#This Row],[Discount on Total Revenue]])*RevenueTable[[#This Row],[Total Revenue]],2)</f>
        <v>1342.58</v>
      </c>
    </row>
    <row r="632" spans="1:7" x14ac:dyDescent="0.3">
      <c r="A632" s="46">
        <v>43043</v>
      </c>
      <c r="B632" t="s">
        <v>5</v>
      </c>
      <c r="C632">
        <v>113</v>
      </c>
      <c r="D632" s="59">
        <v>22.95</v>
      </c>
      <c r="E632" s="59">
        <v>2593.35</v>
      </c>
      <c r="F632">
        <f>VLOOKUP(RevenueTable[[#This Row],[Units Sold]],Discounttable[],2)</f>
        <v>0.4375</v>
      </c>
      <c r="G632">
        <f>ROUND((1-RevenueTable[[#This Row],[Discount on Total Revenue]])*RevenueTable[[#This Row],[Total Revenue]],2)</f>
        <v>1458.76</v>
      </c>
    </row>
    <row r="633" spans="1:7" x14ac:dyDescent="0.3">
      <c r="A633" s="46">
        <v>43042</v>
      </c>
      <c r="B633" t="s">
        <v>8</v>
      </c>
      <c r="C633">
        <v>48</v>
      </c>
      <c r="D633" s="59">
        <v>21.95</v>
      </c>
      <c r="E633" s="59">
        <v>1053.5999999999999</v>
      </c>
      <c r="F633">
        <f>VLOOKUP(RevenueTable[[#This Row],[Units Sold]],Discounttable[],2)</f>
        <v>0.375</v>
      </c>
      <c r="G633">
        <f>ROUND((1-RevenueTable[[#This Row],[Discount on Total Revenue]])*RevenueTable[[#This Row],[Total Revenue]],2)</f>
        <v>658.5</v>
      </c>
    </row>
    <row r="634" spans="1:7" x14ac:dyDescent="0.3">
      <c r="A634" s="46">
        <v>43047</v>
      </c>
      <c r="B634" t="s">
        <v>13</v>
      </c>
      <c r="C634">
        <v>168</v>
      </c>
      <c r="D634" s="59">
        <v>14.95</v>
      </c>
      <c r="E634" s="59">
        <v>2511.6</v>
      </c>
      <c r="F634">
        <f>VLOOKUP(RevenueTable[[#This Row],[Units Sold]],Discounttable[],2)</f>
        <v>0.55000000000000004</v>
      </c>
      <c r="G634">
        <f>ROUND((1-RevenueTable[[#This Row],[Discount on Total Revenue]])*RevenueTable[[#This Row],[Total Revenue]],2)</f>
        <v>1130.22</v>
      </c>
    </row>
    <row r="635" spans="1:7" x14ac:dyDescent="0.3">
      <c r="A635" s="46">
        <v>43040</v>
      </c>
      <c r="B635" t="s">
        <v>8</v>
      </c>
      <c r="C635">
        <v>36</v>
      </c>
      <c r="D635" s="59">
        <v>21.95</v>
      </c>
      <c r="E635" s="59">
        <v>790.19999999999993</v>
      </c>
      <c r="F635">
        <f>VLOOKUP(RevenueTable[[#This Row],[Units Sold]],Discounttable[],2)</f>
        <v>0.25</v>
      </c>
      <c r="G635">
        <f>ROUND((1-RevenueTable[[#This Row],[Discount on Total Revenue]])*RevenueTable[[#This Row],[Total Revenue]],2)</f>
        <v>592.65</v>
      </c>
    </row>
    <row r="636" spans="1:7" x14ac:dyDescent="0.3">
      <c r="A636" s="46">
        <v>43040</v>
      </c>
      <c r="B636" t="s">
        <v>5</v>
      </c>
      <c r="C636">
        <v>122</v>
      </c>
      <c r="D636" s="59">
        <v>22.95</v>
      </c>
      <c r="E636" s="59">
        <v>2799.9</v>
      </c>
      <c r="F636">
        <f>VLOOKUP(RevenueTable[[#This Row],[Units Sold]],Discounttable[],2)</f>
        <v>0.4375</v>
      </c>
      <c r="G636">
        <f>ROUND((1-RevenueTable[[#This Row],[Discount on Total Revenue]])*RevenueTable[[#This Row],[Total Revenue]],2)</f>
        <v>1574.94</v>
      </c>
    </row>
    <row r="637" spans="1:7" x14ac:dyDescent="0.3">
      <c r="A637" s="46">
        <v>43041</v>
      </c>
      <c r="B637" t="s">
        <v>5</v>
      </c>
      <c r="C637">
        <v>136</v>
      </c>
      <c r="D637" s="59">
        <v>22.95</v>
      </c>
      <c r="E637" s="59">
        <v>3121.2</v>
      </c>
      <c r="F637">
        <f>VLOOKUP(RevenueTable[[#This Row],[Units Sold]],Discounttable[],2)</f>
        <v>0.4375</v>
      </c>
      <c r="G637">
        <f>ROUND((1-RevenueTable[[#This Row],[Discount on Total Revenue]])*RevenueTable[[#This Row],[Total Revenue]],2)</f>
        <v>1755.68</v>
      </c>
    </row>
    <row r="638" spans="1:7" x14ac:dyDescent="0.3">
      <c r="A638" s="46">
        <v>43040</v>
      </c>
      <c r="B638" t="s">
        <v>7</v>
      </c>
      <c r="C638">
        <v>76</v>
      </c>
      <c r="D638" s="59">
        <v>43.95</v>
      </c>
      <c r="E638" s="59">
        <v>3340.2000000000003</v>
      </c>
      <c r="F638">
        <f>VLOOKUP(RevenueTable[[#This Row],[Units Sold]],Discounttable[],2)</f>
        <v>0.375</v>
      </c>
      <c r="G638">
        <f>ROUND((1-RevenueTable[[#This Row],[Discount on Total Revenue]])*RevenueTable[[#This Row],[Total Revenue]],2)</f>
        <v>2087.63</v>
      </c>
    </row>
    <row r="639" spans="1:7" x14ac:dyDescent="0.3">
      <c r="A639" s="46">
        <v>43041</v>
      </c>
      <c r="B639" t="s">
        <v>13</v>
      </c>
      <c r="C639">
        <v>161</v>
      </c>
      <c r="D639" s="59">
        <v>14.95</v>
      </c>
      <c r="E639" s="59">
        <v>2406.9499999999998</v>
      </c>
      <c r="F639">
        <f>VLOOKUP(RevenueTable[[#This Row],[Units Sold]],Discounttable[],2)</f>
        <v>0.5</v>
      </c>
      <c r="G639">
        <f>ROUND((1-RevenueTable[[#This Row],[Discount on Total Revenue]])*RevenueTable[[#This Row],[Total Revenue]],2)</f>
        <v>1203.48</v>
      </c>
    </row>
    <row r="640" spans="1:7" x14ac:dyDescent="0.3">
      <c r="A640" s="46">
        <v>43043</v>
      </c>
      <c r="B640" t="s">
        <v>7</v>
      </c>
      <c r="C640">
        <v>187</v>
      </c>
      <c r="D640" s="59">
        <v>43.95</v>
      </c>
      <c r="E640" s="59">
        <v>8218.65</v>
      </c>
      <c r="F640">
        <f>VLOOKUP(RevenueTable[[#This Row],[Units Sold]],Discounttable[],2)</f>
        <v>0.55000000000000004</v>
      </c>
      <c r="G640">
        <f>ROUND((1-RevenueTable[[#This Row],[Discount on Total Revenue]])*RevenueTable[[#This Row],[Total Revenue]],2)</f>
        <v>3698.39</v>
      </c>
    </row>
    <row r="641" spans="1:7" x14ac:dyDescent="0.3">
      <c r="A641" s="46">
        <v>43044</v>
      </c>
      <c r="B641" t="s">
        <v>7</v>
      </c>
      <c r="C641">
        <v>38</v>
      </c>
      <c r="D641" s="59">
        <v>43.95</v>
      </c>
      <c r="E641" s="59">
        <v>1670.1000000000001</v>
      </c>
      <c r="F641">
        <f>VLOOKUP(RevenueTable[[#This Row],[Units Sold]],Discounttable[],2)</f>
        <v>0.25</v>
      </c>
      <c r="G641">
        <f>ROUND((1-RevenueTable[[#This Row],[Discount on Total Revenue]])*RevenueTable[[#This Row],[Total Revenue]],2)</f>
        <v>1252.58</v>
      </c>
    </row>
    <row r="642" spans="1:7" x14ac:dyDescent="0.3">
      <c r="A642" s="46">
        <v>43047</v>
      </c>
      <c r="B642" t="s">
        <v>5</v>
      </c>
      <c r="C642">
        <v>5</v>
      </c>
      <c r="D642" s="59">
        <v>22.95</v>
      </c>
      <c r="E642" s="59">
        <v>114.75</v>
      </c>
      <c r="F642">
        <f>VLOOKUP(RevenueTable[[#This Row],[Units Sold]],Discounttable[],2)</f>
        <v>0</v>
      </c>
      <c r="G642">
        <f>ROUND((1-RevenueTable[[#This Row],[Discount on Total Revenue]])*RevenueTable[[#This Row],[Total Revenue]],2)</f>
        <v>114.75</v>
      </c>
    </row>
    <row r="643" spans="1:7" x14ac:dyDescent="0.3">
      <c r="A643" s="46">
        <v>43045</v>
      </c>
      <c r="B643" t="s">
        <v>13</v>
      </c>
      <c r="C643">
        <v>44</v>
      </c>
      <c r="D643" s="59">
        <v>14.95</v>
      </c>
      <c r="E643" s="59">
        <v>657.8</v>
      </c>
      <c r="F643">
        <f>VLOOKUP(RevenueTable[[#This Row],[Units Sold]],Discounttable[],2)</f>
        <v>0.25</v>
      </c>
      <c r="G643">
        <f>ROUND((1-RevenueTable[[#This Row],[Discount on Total Revenue]])*RevenueTable[[#This Row],[Total Revenue]],2)</f>
        <v>493.35</v>
      </c>
    </row>
    <row r="644" spans="1:7" x14ac:dyDescent="0.3">
      <c r="A644" s="46">
        <v>43041</v>
      </c>
      <c r="B644" t="s">
        <v>13</v>
      </c>
      <c r="C644">
        <v>101</v>
      </c>
      <c r="D644" s="59">
        <v>14.95</v>
      </c>
      <c r="E644" s="59">
        <v>1509.9499999999998</v>
      </c>
      <c r="F644">
        <f>VLOOKUP(RevenueTable[[#This Row],[Units Sold]],Discounttable[],2)</f>
        <v>0.4375</v>
      </c>
      <c r="G644">
        <f>ROUND((1-RevenueTable[[#This Row],[Discount on Total Revenue]])*RevenueTable[[#This Row],[Total Revenue]],2)</f>
        <v>849.35</v>
      </c>
    </row>
    <row r="645" spans="1:7" x14ac:dyDescent="0.3">
      <c r="A645" s="46">
        <v>43046</v>
      </c>
      <c r="B645" t="s">
        <v>8</v>
      </c>
      <c r="C645">
        <v>129</v>
      </c>
      <c r="D645" s="59">
        <v>21.95</v>
      </c>
      <c r="E645" s="59">
        <v>2831.5499999999997</v>
      </c>
      <c r="F645">
        <f>VLOOKUP(RevenueTable[[#This Row],[Units Sold]],Discounttable[],2)</f>
        <v>0.4375</v>
      </c>
      <c r="G645">
        <f>ROUND((1-RevenueTable[[#This Row],[Discount on Total Revenue]])*RevenueTable[[#This Row],[Total Revenue]],2)</f>
        <v>1592.75</v>
      </c>
    </row>
    <row r="646" spans="1:7" x14ac:dyDescent="0.3">
      <c r="A646" s="46">
        <v>43045</v>
      </c>
      <c r="B646" t="s">
        <v>7</v>
      </c>
      <c r="C646">
        <v>170</v>
      </c>
      <c r="D646" s="59">
        <v>43.95</v>
      </c>
      <c r="E646" s="59">
        <v>7471.5000000000009</v>
      </c>
      <c r="F646">
        <f>VLOOKUP(RevenueTable[[#This Row],[Units Sold]],Discounttable[],2)</f>
        <v>0.55000000000000004</v>
      </c>
      <c r="G646">
        <f>ROUND((1-RevenueTable[[#This Row],[Discount on Total Revenue]])*RevenueTable[[#This Row],[Total Revenue]],2)</f>
        <v>3362.18</v>
      </c>
    </row>
    <row r="647" spans="1:7" x14ac:dyDescent="0.3">
      <c r="A647" s="46">
        <v>43047</v>
      </c>
      <c r="B647" t="s">
        <v>7</v>
      </c>
      <c r="C647">
        <v>169</v>
      </c>
      <c r="D647" s="59">
        <v>43.95</v>
      </c>
      <c r="E647" s="59">
        <v>7427.55</v>
      </c>
      <c r="F647">
        <f>VLOOKUP(RevenueTable[[#This Row],[Units Sold]],Discounttable[],2)</f>
        <v>0.55000000000000004</v>
      </c>
      <c r="G647">
        <f>ROUND((1-RevenueTable[[#This Row],[Discount on Total Revenue]])*RevenueTable[[#This Row],[Total Revenue]],2)</f>
        <v>3342.4</v>
      </c>
    </row>
    <row r="648" spans="1:7" x14ac:dyDescent="0.3">
      <c r="A648" s="46">
        <v>43047</v>
      </c>
      <c r="B648" t="s">
        <v>13</v>
      </c>
      <c r="C648">
        <v>173</v>
      </c>
      <c r="D648" s="59">
        <v>14.95</v>
      </c>
      <c r="E648" s="59">
        <v>2586.35</v>
      </c>
      <c r="F648">
        <f>VLOOKUP(RevenueTable[[#This Row],[Units Sold]],Discounttable[],2)</f>
        <v>0.55000000000000004</v>
      </c>
      <c r="G648">
        <f>ROUND((1-RevenueTable[[#This Row],[Discount on Total Revenue]])*RevenueTable[[#This Row],[Total Revenue]],2)</f>
        <v>1163.8599999999999</v>
      </c>
    </row>
    <row r="649" spans="1:7" x14ac:dyDescent="0.3">
      <c r="A649" s="46">
        <v>43044</v>
      </c>
      <c r="B649" t="s">
        <v>7</v>
      </c>
      <c r="C649">
        <v>155</v>
      </c>
      <c r="D649" s="59">
        <v>43.95</v>
      </c>
      <c r="E649" s="59">
        <v>6812.25</v>
      </c>
      <c r="F649">
        <f>VLOOKUP(RevenueTable[[#This Row],[Units Sold]],Discounttable[],2)</f>
        <v>0.5</v>
      </c>
      <c r="G649">
        <f>ROUND((1-RevenueTable[[#This Row],[Discount on Total Revenue]])*RevenueTable[[#This Row],[Total Revenue]],2)</f>
        <v>3406.13</v>
      </c>
    </row>
    <row r="650" spans="1:7" x14ac:dyDescent="0.3">
      <c r="A650" s="46">
        <v>43043</v>
      </c>
      <c r="B650" t="s">
        <v>5</v>
      </c>
      <c r="C650">
        <v>40</v>
      </c>
      <c r="D650" s="59">
        <v>22.95</v>
      </c>
      <c r="E650" s="59">
        <v>918</v>
      </c>
      <c r="F650">
        <f>VLOOKUP(RevenueTable[[#This Row],[Units Sold]],Discounttable[],2)</f>
        <v>0.25</v>
      </c>
      <c r="G650">
        <f>ROUND((1-RevenueTable[[#This Row],[Discount on Total Revenue]])*RevenueTable[[#This Row],[Total Revenue]],2)</f>
        <v>688.5</v>
      </c>
    </row>
    <row r="651" spans="1:7" x14ac:dyDescent="0.3">
      <c r="A651" s="46">
        <v>43046</v>
      </c>
      <c r="B651" t="s">
        <v>7</v>
      </c>
      <c r="C651">
        <v>14</v>
      </c>
      <c r="D651" s="59">
        <v>43.95</v>
      </c>
      <c r="E651" s="59">
        <v>615.30000000000007</v>
      </c>
      <c r="F651">
        <f>VLOOKUP(RevenueTable[[#This Row],[Units Sold]],Discounttable[],2)</f>
        <v>0.25</v>
      </c>
      <c r="G651">
        <f>ROUND((1-RevenueTable[[#This Row],[Discount on Total Revenue]])*RevenueTable[[#This Row],[Total Revenue]],2)</f>
        <v>461.48</v>
      </c>
    </row>
    <row r="652" spans="1:7" x14ac:dyDescent="0.3">
      <c r="A652" s="46">
        <v>43042</v>
      </c>
      <c r="B652" t="s">
        <v>8</v>
      </c>
      <c r="C652">
        <v>172</v>
      </c>
      <c r="D652" s="59">
        <v>21.95</v>
      </c>
      <c r="E652" s="59">
        <v>3775.4</v>
      </c>
      <c r="F652">
        <f>VLOOKUP(RevenueTable[[#This Row],[Units Sold]],Discounttable[],2)</f>
        <v>0.55000000000000004</v>
      </c>
      <c r="G652">
        <f>ROUND((1-RevenueTable[[#This Row],[Discount on Total Revenue]])*RevenueTable[[#This Row],[Total Revenue]],2)</f>
        <v>1698.93</v>
      </c>
    </row>
    <row r="653" spans="1:7" x14ac:dyDescent="0.3">
      <c r="A653" s="106">
        <v>43042</v>
      </c>
      <c r="B653" s="96" t="s">
        <v>5</v>
      </c>
      <c r="C653" s="96">
        <v>15</v>
      </c>
      <c r="D653" s="59">
        <v>22.95</v>
      </c>
      <c r="E653" s="59">
        <v>344.25</v>
      </c>
      <c r="F653" s="100">
        <f>VLOOKUP(RevenueTable[[#This Row],[Units Sold]],Discounttable[],2)</f>
        <v>0.25</v>
      </c>
      <c r="G653" s="100">
        <f>ROUND((1-RevenueTable[[#This Row],[Discount on Total Revenue]])*RevenueTable[[#This Row],[Total Revenue]],2)</f>
        <v>258.19</v>
      </c>
    </row>
    <row r="654" spans="1:7" x14ac:dyDescent="0.3">
      <c r="A654" s="106">
        <v>43040</v>
      </c>
      <c r="B654" s="96" t="s">
        <v>7</v>
      </c>
      <c r="C654" s="96">
        <v>46</v>
      </c>
      <c r="D654" s="59">
        <v>22.95</v>
      </c>
      <c r="E654" s="59">
        <v>1055.7</v>
      </c>
      <c r="F654" s="100">
        <f>VLOOKUP(RevenueTable[[#This Row],[Units Sold]],Discounttable[],2)</f>
        <v>0.25</v>
      </c>
      <c r="G654" s="100">
        <f>ROUND((1-RevenueTable[[#This Row],[Discount on Total Revenue]])*RevenueTable[[#This Row],[Total Revenue]],2)</f>
        <v>791.78</v>
      </c>
    </row>
    <row r="655" spans="1:7" x14ac:dyDescent="0.3">
      <c r="A655" s="106">
        <v>43046</v>
      </c>
      <c r="B655" s="96" t="s">
        <v>5</v>
      </c>
      <c r="C655" s="96">
        <v>17</v>
      </c>
      <c r="D655" s="59">
        <v>43.95</v>
      </c>
      <c r="E655" s="59">
        <v>747.15000000000009</v>
      </c>
      <c r="F655" s="100">
        <f>VLOOKUP(RevenueTable[[#This Row],[Units Sold]],Discounttable[],2)</f>
        <v>0.25</v>
      </c>
      <c r="G655" s="100">
        <f>ROUND((1-RevenueTable[[#This Row],[Discount on Total Revenue]])*RevenueTable[[#This Row],[Total Revenue]],2)</f>
        <v>560.36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663F8-83CF-4F38-91A1-280C7A0A9832}">
  <sheetPr>
    <tabColor rgb="FFFF0000"/>
  </sheetPr>
  <dimension ref="A1:AP655"/>
  <sheetViews>
    <sheetView zoomScaleNormal="100" workbookViewId="0"/>
  </sheetViews>
  <sheetFormatPr defaultColWidth="9.109375" defaultRowHeight="14.4" x14ac:dyDescent="0.3"/>
  <cols>
    <col min="1" max="5" width="15.6640625" style="96" customWidth="1"/>
    <col min="6" max="6" width="27.6640625" style="96" customWidth="1"/>
    <col min="7" max="7" width="15.109375" style="96" customWidth="1"/>
    <col min="8" max="9" width="11.33203125" style="96" customWidth="1"/>
    <col min="10" max="11" width="10.109375" style="96" customWidth="1"/>
    <col min="12" max="14" width="9.109375" style="96"/>
    <col min="15" max="15" width="12.5546875" style="96" customWidth="1"/>
    <col min="16" max="24" width="9.109375" style="96"/>
    <col min="25" max="25" width="10.33203125" style="96" bestFit="1" customWidth="1"/>
    <col min="26" max="32" width="9.109375" style="96"/>
    <col min="33" max="33" width="55" style="96" bestFit="1" customWidth="1"/>
    <col min="34" max="16384" width="9.109375" style="96"/>
  </cols>
  <sheetData>
    <row r="1" spans="1:42" x14ac:dyDescent="0.3">
      <c r="A1" s="60" t="s">
        <v>45</v>
      </c>
      <c r="B1" s="61"/>
      <c r="C1" s="61"/>
      <c r="D1" s="61"/>
      <c r="E1" s="61"/>
      <c r="F1" s="61"/>
      <c r="G1" s="61"/>
      <c r="H1" s="61"/>
      <c r="I1" s="62"/>
      <c r="AO1" s="102" t="s">
        <v>43</v>
      </c>
      <c r="AP1" s="102" t="s">
        <v>44</v>
      </c>
    </row>
    <row r="2" spans="1:42" x14ac:dyDescent="0.3">
      <c r="A2" s="63" t="s">
        <v>47</v>
      </c>
      <c r="B2" s="64"/>
      <c r="C2" s="64"/>
      <c r="D2" s="64"/>
      <c r="E2" s="64"/>
      <c r="F2" s="64"/>
      <c r="G2" s="64"/>
      <c r="H2" s="64"/>
      <c r="I2" s="65"/>
      <c r="AG2" s="74" t="s">
        <v>58</v>
      </c>
      <c r="AO2" s="96">
        <v>0</v>
      </c>
      <c r="AP2" s="96">
        <v>0</v>
      </c>
    </row>
    <row r="3" spans="1:42" x14ac:dyDescent="0.3">
      <c r="A3" s="69" t="s">
        <v>48</v>
      </c>
      <c r="B3" s="64"/>
      <c r="C3" s="64"/>
      <c r="D3" s="64"/>
      <c r="E3" s="64"/>
      <c r="F3" s="64"/>
      <c r="G3" s="64"/>
      <c r="H3" s="64"/>
      <c r="I3" s="65"/>
      <c r="AG3" s="98" t="str">
        <f>"Discount Decimal or Percentage = "&amp;F22&amp;" or "&amp;TEXT(F22,"0.00%")</f>
        <v>Discount Decimal or Percentage = 0.25 or 25.00%</v>
      </c>
      <c r="AO3" s="96">
        <v>12</v>
      </c>
      <c r="AP3" s="96">
        <v>0.25</v>
      </c>
    </row>
    <row r="4" spans="1:42" x14ac:dyDescent="0.3">
      <c r="A4" s="70" t="str">
        <f>"If the customer purchased between "&amp;AO3&amp;" and "&amp;AO4-1&amp;" units, then they get a "&amp;TEXT(AP3,"0.00%")&amp;" discount."</f>
        <v>If the customer purchased between 12 and 47 units, then they get a 25.00% discount.</v>
      </c>
      <c r="B4" s="64"/>
      <c r="C4" s="64"/>
      <c r="D4" s="64"/>
      <c r="E4" s="64"/>
      <c r="F4" s="64"/>
      <c r="G4" s="64"/>
      <c r="H4" s="64"/>
      <c r="I4" s="65"/>
      <c r="AG4" s="98" t="str">
        <f>RevenueTableAnswer[[#Headers],[Total Revenue]]&amp;" = "&amp;DOLLAR(E22,0)</f>
        <v>Total Revenue = ₹ 527</v>
      </c>
      <c r="AO4" s="96">
        <v>48</v>
      </c>
      <c r="AP4" s="96">
        <v>0.375</v>
      </c>
    </row>
    <row r="5" spans="1:42" x14ac:dyDescent="0.3">
      <c r="A5" s="70" t="str">
        <f>"If the customer purchased between "&amp;AO4&amp;" and "&amp;AO5-1&amp;" units, then they get a "&amp;TEXT(AP4,"0.00%")&amp;" discount."</f>
        <v>If the customer purchased between 48 and 95 units, then they get a 37.50% discount.</v>
      </c>
      <c r="B5" s="64"/>
      <c r="C5" s="64"/>
      <c r="D5" s="64"/>
      <c r="E5" s="64"/>
      <c r="F5" s="64"/>
      <c r="G5" s="64"/>
      <c r="H5" s="64"/>
      <c r="I5" s="65"/>
      <c r="AG5" s="73" t="s">
        <v>59</v>
      </c>
      <c r="AO5" s="96">
        <v>96</v>
      </c>
      <c r="AP5" s="96">
        <v>0.4375</v>
      </c>
    </row>
    <row r="6" spans="1:42" x14ac:dyDescent="0.3">
      <c r="A6" s="70" t="str">
        <f>"If the customer purchased between "&amp;AO5&amp;" and "&amp;AO6-1&amp;" units, then they get a "&amp;TEXT(AP5,"0.00%")&amp;" discount."</f>
        <v>If the customer purchased between 96 and 143 units, then they get a 43.75% discount.</v>
      </c>
      <c r="B6" s="64"/>
      <c r="C6" s="64"/>
      <c r="D6" s="64"/>
      <c r="E6" s="64"/>
      <c r="F6" s="64"/>
      <c r="G6" s="64"/>
      <c r="H6" s="64"/>
      <c r="I6" s="65"/>
      <c r="AG6" s="98" t="s">
        <v>55</v>
      </c>
      <c r="AO6" s="96">
        <v>144</v>
      </c>
      <c r="AP6" s="96">
        <v>0.5</v>
      </c>
    </row>
    <row r="7" spans="1:42" x14ac:dyDescent="0.3">
      <c r="A7" s="70" t="str">
        <f>"If the customer purchased "&amp;AO6&amp;" or more units, then they get a "&amp;TEXT(AP6,"0.00%")&amp;" discount."</f>
        <v>If the customer purchased 144 or more units, then they get a 50.00% discount.</v>
      </c>
      <c r="B7" s="64"/>
      <c r="C7" s="64"/>
      <c r="D7" s="64"/>
      <c r="E7" s="64"/>
      <c r="F7" s="64"/>
      <c r="G7" s="64"/>
      <c r="H7" s="64"/>
      <c r="I7" s="65"/>
      <c r="AG7" s="72" t="str">
        <f>DOLLAR($E$22)&amp;" * "&amp;$F$22&amp;" = "&amp;DOLLAR($E$22*$F$22,2)&amp;" = Amount of Discount"</f>
        <v>₹ 527.40 * 0.25 = ₹ 131.85 = Amount of Discount</v>
      </c>
    </row>
    <row r="8" spans="1:42" x14ac:dyDescent="0.3">
      <c r="A8" s="69" t="s">
        <v>49</v>
      </c>
      <c r="B8" s="64"/>
      <c r="C8" s="64"/>
      <c r="D8" s="64"/>
      <c r="E8" s="64"/>
      <c r="F8" s="64"/>
      <c r="G8" s="64"/>
      <c r="H8" s="64"/>
      <c r="I8" s="65"/>
      <c r="AG8" s="98" t="s">
        <v>56</v>
      </c>
    </row>
    <row r="9" spans="1:42" x14ac:dyDescent="0.3">
      <c r="A9" s="71" t="s">
        <v>46</v>
      </c>
      <c r="B9" s="64"/>
      <c r="C9" s="64"/>
      <c r="D9" s="64"/>
      <c r="E9" s="64"/>
      <c r="F9" s="64"/>
      <c r="G9" s="64"/>
      <c r="H9" s="64"/>
      <c r="I9" s="65"/>
      <c r="AG9" s="72" t="str">
        <f>DOLLAR($E$22)&amp;" - "&amp;DOLLAR($E$22*$F$22,2)&amp;" = Net Revenue = "&amp;DOLLAR($E$22-$E$22*$F$22,2)</f>
        <v>₹ 527.40 - ₹ 131.85 = Net Revenue = ₹ 395.55</v>
      </c>
    </row>
    <row r="10" spans="1:42" x14ac:dyDescent="0.3">
      <c r="A10" s="69" t="s">
        <v>50</v>
      </c>
      <c r="B10" s="64"/>
      <c r="C10" s="64"/>
      <c r="D10" s="64"/>
      <c r="E10" s="64"/>
      <c r="F10" s="64"/>
      <c r="G10" s="64"/>
      <c r="H10" s="64"/>
      <c r="I10" s="65"/>
      <c r="O10" s="102" t="s">
        <v>33</v>
      </c>
      <c r="AG10" s="98" t="s">
        <v>57</v>
      </c>
    </row>
    <row r="11" spans="1:42" x14ac:dyDescent="0.3">
      <c r="A11" s="69" t="str">
        <f>""&amp;ROWS(A$11:A11)+3&amp;") In Cell "&amp;ADDRESS(ROW(RevenueTableAnswer[[#Headers],[Total Revenue]]),COLUMN(RevenueTableAnswer[[#Headers],[Total Revenue]]),4)&amp;" type the Column Name 'Discount on Total Revenue'"</f>
        <v>4) In Cell E19 type the Column Name 'Discount on Total Revenue'</v>
      </c>
      <c r="B11" s="64"/>
      <c r="C11" s="64"/>
      <c r="D11" s="64"/>
      <c r="E11" s="64"/>
      <c r="F11" s="64"/>
      <c r="G11" s="64"/>
      <c r="H11" s="64"/>
      <c r="I11" s="65"/>
      <c r="AG11" s="72" t="str">
        <f>DOLLAR($E$22)&amp;" * (1 - "&amp;$F$22&amp;") = "&amp;" = Net Revenue = "&amp;DOLLAR($E$22-$E$22*$F$22,2)</f>
        <v>₹ 527.40 * (1 - 0.25) =  = Net Revenue = ₹ 395.55</v>
      </c>
    </row>
    <row r="12" spans="1:42" x14ac:dyDescent="0.3">
      <c r="A12" s="69" t="str">
        <f>""&amp;ROWS(A$11:A12)+3&amp;") In Cell "&amp;ADDRESS(ROW(E20),COLUMN(E20),4)&amp;" create Approximate Match VLOOKUP Formula to show discount"</f>
        <v>5) In Cell E20 create Approximate Match VLOOKUP Formula to show discount</v>
      </c>
      <c r="B12" s="64"/>
      <c r="C12" s="64"/>
      <c r="D12" s="64"/>
      <c r="E12" s="64"/>
      <c r="F12" s="64"/>
      <c r="G12" s="64"/>
      <c r="H12" s="64"/>
      <c r="I12" s="65"/>
    </row>
    <row r="13" spans="1:42" x14ac:dyDescent="0.3">
      <c r="A13" s="63" t="s">
        <v>51</v>
      </c>
      <c r="B13" s="64"/>
      <c r="C13" s="64"/>
      <c r="D13" s="64"/>
      <c r="E13" s="64"/>
      <c r="F13" s="64"/>
      <c r="G13" s="64"/>
      <c r="H13" s="64"/>
      <c r="I13" s="65"/>
      <c r="O13" s="101">
        <v>43042</v>
      </c>
      <c r="P13" s="96" t="s">
        <v>5</v>
      </c>
      <c r="Q13" s="96">
        <v>15</v>
      </c>
      <c r="R13" s="96">
        <v>22.95</v>
      </c>
      <c r="S13" s="96">
        <v>344.25</v>
      </c>
    </row>
    <row r="14" spans="1:42" x14ac:dyDescent="0.3">
      <c r="A14" s="63"/>
      <c r="B14" s="64"/>
      <c r="C14" s="64"/>
      <c r="D14" s="64"/>
      <c r="E14" s="64"/>
      <c r="F14" s="64"/>
      <c r="G14" s="64"/>
      <c r="H14" s="64"/>
      <c r="I14" s="65"/>
      <c r="O14" s="101">
        <v>43040</v>
      </c>
      <c r="P14" s="96" t="s">
        <v>7</v>
      </c>
      <c r="Q14" s="96">
        <v>46</v>
      </c>
      <c r="R14" s="96">
        <v>22.95</v>
      </c>
      <c r="S14" s="96">
        <v>1055.7</v>
      </c>
    </row>
    <row r="15" spans="1:42" x14ac:dyDescent="0.3">
      <c r="A15" s="66"/>
      <c r="B15" s="67"/>
      <c r="C15" s="67"/>
      <c r="D15" s="67"/>
      <c r="E15" s="67"/>
      <c r="F15" s="67"/>
      <c r="G15" s="67"/>
      <c r="H15" s="67"/>
      <c r="I15" s="68"/>
      <c r="O15" s="101">
        <v>43046</v>
      </c>
      <c r="P15" s="96" t="s">
        <v>5</v>
      </c>
      <c r="Q15" s="96">
        <v>17</v>
      </c>
      <c r="R15" s="96">
        <v>43.95</v>
      </c>
      <c r="S15" s="96">
        <v>747.15000000000009</v>
      </c>
    </row>
    <row r="17" spans="1:11" x14ac:dyDescent="0.3">
      <c r="A17" s="102" t="s">
        <v>52</v>
      </c>
    </row>
    <row r="19" spans="1:11" x14ac:dyDescent="0.3">
      <c r="A19" s="102" t="s">
        <v>1</v>
      </c>
      <c r="B19" s="102" t="s">
        <v>2</v>
      </c>
      <c r="C19" s="102" t="s">
        <v>32</v>
      </c>
      <c r="D19" s="102" t="s">
        <v>41</v>
      </c>
      <c r="E19" s="102" t="s">
        <v>42</v>
      </c>
      <c r="F19" s="102" t="s">
        <v>53</v>
      </c>
      <c r="G19" s="102" t="s">
        <v>54</v>
      </c>
      <c r="J19" s="102" t="s">
        <v>43</v>
      </c>
      <c r="K19" s="102" t="s">
        <v>44</v>
      </c>
    </row>
    <row r="20" spans="1:11" x14ac:dyDescent="0.3">
      <c r="A20" s="101">
        <v>43045</v>
      </c>
      <c r="B20" s="96" t="s">
        <v>5</v>
      </c>
      <c r="C20" s="96">
        <v>190</v>
      </c>
      <c r="D20" s="59">
        <v>22.95</v>
      </c>
      <c r="E20" s="59">
        <v>4360.5</v>
      </c>
      <c r="F20" s="96">
        <f>VLOOKUP(RevenueTableAnswer[[#This Row],[Units Sold]],DiscountTableAnswer[],2)</f>
        <v>0.55000000000000004</v>
      </c>
      <c r="G20" s="96">
        <f>ROUND((1-RevenueTableAnswer[[#This Row],[Discount on Total Revenue]])*RevenueTableAnswer[[#This Row],[Total Revenue]],2)</f>
        <v>1962.23</v>
      </c>
      <c r="J20" s="96">
        <v>0</v>
      </c>
      <c r="K20" s="96">
        <v>0</v>
      </c>
    </row>
    <row r="21" spans="1:11" x14ac:dyDescent="0.3">
      <c r="A21" s="101">
        <v>43040</v>
      </c>
      <c r="B21" s="96" t="s">
        <v>5</v>
      </c>
      <c r="C21" s="96">
        <v>138</v>
      </c>
      <c r="D21" s="59">
        <v>22.95</v>
      </c>
      <c r="E21" s="59">
        <v>3167.1</v>
      </c>
      <c r="F21" s="96">
        <f>VLOOKUP(RevenueTableAnswer[[#This Row],[Units Sold]],DiscountTableAnswer[],2)</f>
        <v>0.4375</v>
      </c>
      <c r="G21" s="96">
        <f>ROUND((1-RevenueTableAnswer[[#This Row],[Discount on Total Revenue]])*RevenueTableAnswer[[#This Row],[Total Revenue]],2)</f>
        <v>1781.49</v>
      </c>
      <c r="J21" s="96">
        <v>12</v>
      </c>
      <c r="K21" s="96">
        <v>0.25</v>
      </c>
    </row>
    <row r="22" spans="1:11" x14ac:dyDescent="0.3">
      <c r="A22" s="101">
        <v>43043</v>
      </c>
      <c r="B22" s="96" t="s">
        <v>7</v>
      </c>
      <c r="C22" s="96">
        <v>12</v>
      </c>
      <c r="D22" s="59">
        <v>43.95</v>
      </c>
      <c r="E22" s="59">
        <v>527.40000000000009</v>
      </c>
      <c r="F22" s="96">
        <f>VLOOKUP(RevenueTableAnswer[[#This Row],[Units Sold]],DiscountTableAnswer[],2)</f>
        <v>0.25</v>
      </c>
      <c r="G22" s="96">
        <f>ROUND((1-RevenueTableAnswer[[#This Row],[Discount on Total Revenue]])*RevenueTableAnswer[[#This Row],[Total Revenue]],2)</f>
        <v>395.55</v>
      </c>
      <c r="J22" s="96">
        <v>48</v>
      </c>
      <c r="K22" s="96">
        <v>0.375</v>
      </c>
    </row>
    <row r="23" spans="1:11" x14ac:dyDescent="0.3">
      <c r="A23" s="101">
        <v>43041</v>
      </c>
      <c r="B23" s="96" t="s">
        <v>13</v>
      </c>
      <c r="C23" s="96">
        <v>45</v>
      </c>
      <c r="D23" s="59">
        <v>14.95</v>
      </c>
      <c r="E23" s="59">
        <v>672.75</v>
      </c>
      <c r="F23" s="96">
        <f>VLOOKUP(RevenueTableAnswer[[#This Row],[Units Sold]],DiscountTableAnswer[],2)</f>
        <v>0.25</v>
      </c>
      <c r="G23" s="96">
        <f>ROUND((1-RevenueTableAnswer[[#This Row],[Discount on Total Revenue]])*RevenueTableAnswer[[#This Row],[Total Revenue]],2)</f>
        <v>504.56</v>
      </c>
      <c r="J23" s="96">
        <v>96</v>
      </c>
      <c r="K23" s="96">
        <v>0.4375</v>
      </c>
    </row>
    <row r="24" spans="1:11" x14ac:dyDescent="0.3">
      <c r="A24" s="101">
        <v>43043</v>
      </c>
      <c r="B24" s="96" t="s">
        <v>5</v>
      </c>
      <c r="C24" s="96">
        <v>187</v>
      </c>
      <c r="D24" s="59">
        <v>22.95</v>
      </c>
      <c r="E24" s="59">
        <v>4291.6499999999996</v>
      </c>
      <c r="F24" s="96">
        <f>VLOOKUP(RevenueTableAnswer[[#This Row],[Units Sold]],DiscountTableAnswer[],2)</f>
        <v>0.55000000000000004</v>
      </c>
      <c r="G24" s="96">
        <f>ROUND((1-RevenueTableAnswer[[#This Row],[Discount on Total Revenue]])*RevenueTableAnswer[[#This Row],[Total Revenue]],2)</f>
        <v>1931.24</v>
      </c>
      <c r="J24" s="96">
        <v>144</v>
      </c>
      <c r="K24" s="96">
        <v>0.5</v>
      </c>
    </row>
    <row r="25" spans="1:11" x14ac:dyDescent="0.3">
      <c r="A25" s="101">
        <v>43042</v>
      </c>
      <c r="B25" s="96" t="s">
        <v>13</v>
      </c>
      <c r="C25" s="96">
        <v>29</v>
      </c>
      <c r="D25" s="59">
        <v>14.95</v>
      </c>
      <c r="E25" s="59">
        <v>433.54999999999995</v>
      </c>
      <c r="F25" s="96">
        <f>VLOOKUP(RevenueTableAnswer[[#This Row],[Units Sold]],DiscountTableAnswer[],2)</f>
        <v>0.25</v>
      </c>
      <c r="G25" s="96">
        <f>ROUND((1-RevenueTableAnswer[[#This Row],[Discount on Total Revenue]])*RevenueTableAnswer[[#This Row],[Total Revenue]],2)</f>
        <v>325.16000000000003</v>
      </c>
      <c r="J25" s="96">
        <v>168</v>
      </c>
      <c r="K25" s="96">
        <v>0.55000000000000004</v>
      </c>
    </row>
    <row r="26" spans="1:11" x14ac:dyDescent="0.3">
      <c r="A26" s="101">
        <v>43046</v>
      </c>
      <c r="B26" s="96" t="s">
        <v>13</v>
      </c>
      <c r="C26" s="96">
        <v>106</v>
      </c>
      <c r="D26" s="59">
        <v>14.95</v>
      </c>
      <c r="E26" s="59">
        <v>1584.6999999999998</v>
      </c>
      <c r="F26" s="96">
        <f>VLOOKUP(RevenueTableAnswer[[#This Row],[Units Sold]],DiscountTableAnswer[],2)</f>
        <v>0.4375</v>
      </c>
      <c r="G26" s="96">
        <f>ROUND((1-RevenueTableAnswer[[#This Row],[Discount on Total Revenue]])*RevenueTableAnswer[[#This Row],[Total Revenue]],2)</f>
        <v>891.39</v>
      </c>
    </row>
    <row r="27" spans="1:11" x14ac:dyDescent="0.3">
      <c r="A27" s="101">
        <v>43041</v>
      </c>
      <c r="B27" s="96" t="s">
        <v>5</v>
      </c>
      <c r="C27" s="96">
        <v>147</v>
      </c>
      <c r="D27" s="59">
        <v>22.95</v>
      </c>
      <c r="E27" s="59">
        <v>3373.65</v>
      </c>
      <c r="F27" s="96">
        <f>VLOOKUP(RevenueTableAnswer[[#This Row],[Units Sold]],DiscountTableAnswer[],2)</f>
        <v>0.5</v>
      </c>
      <c r="G27" s="96">
        <f>ROUND((1-RevenueTableAnswer[[#This Row],[Discount on Total Revenue]])*RevenueTableAnswer[[#This Row],[Total Revenue]],2)</f>
        <v>1686.83</v>
      </c>
    </row>
    <row r="28" spans="1:11" x14ac:dyDescent="0.3">
      <c r="A28" s="101">
        <v>43043</v>
      </c>
      <c r="B28" s="96" t="s">
        <v>7</v>
      </c>
      <c r="C28" s="96">
        <v>143</v>
      </c>
      <c r="D28" s="59">
        <v>43.95</v>
      </c>
      <c r="E28" s="59">
        <v>6284.85</v>
      </c>
      <c r="F28" s="96">
        <f>VLOOKUP(RevenueTableAnswer[[#This Row],[Units Sold]],DiscountTableAnswer[],2)</f>
        <v>0.4375</v>
      </c>
      <c r="G28" s="96">
        <f>ROUND((1-RevenueTableAnswer[[#This Row],[Discount on Total Revenue]])*RevenueTableAnswer[[#This Row],[Total Revenue]],2)</f>
        <v>3535.23</v>
      </c>
    </row>
    <row r="29" spans="1:11" x14ac:dyDescent="0.3">
      <c r="A29" s="101">
        <v>43044</v>
      </c>
      <c r="B29" s="96" t="s">
        <v>8</v>
      </c>
      <c r="C29" s="96">
        <v>33</v>
      </c>
      <c r="D29" s="59">
        <v>21.95</v>
      </c>
      <c r="E29" s="59">
        <v>724.35</v>
      </c>
      <c r="F29" s="96">
        <f>VLOOKUP(RevenueTableAnswer[[#This Row],[Units Sold]],DiscountTableAnswer[],2)</f>
        <v>0.25</v>
      </c>
      <c r="G29" s="96">
        <f>ROUND((1-RevenueTableAnswer[[#This Row],[Discount on Total Revenue]])*RevenueTableAnswer[[#This Row],[Total Revenue]],2)</f>
        <v>543.26</v>
      </c>
    </row>
    <row r="30" spans="1:11" x14ac:dyDescent="0.3">
      <c r="A30" s="101">
        <v>43045</v>
      </c>
      <c r="B30" s="96" t="s">
        <v>8</v>
      </c>
      <c r="C30" s="96">
        <v>99</v>
      </c>
      <c r="D30" s="59">
        <v>21.95</v>
      </c>
      <c r="E30" s="59">
        <v>2173.0499999999997</v>
      </c>
      <c r="F30" s="96">
        <f>VLOOKUP(RevenueTableAnswer[[#This Row],[Units Sold]],DiscountTableAnswer[],2)</f>
        <v>0.4375</v>
      </c>
      <c r="G30" s="96">
        <f>ROUND((1-RevenueTableAnswer[[#This Row],[Discount on Total Revenue]])*RevenueTableAnswer[[#This Row],[Total Revenue]],2)</f>
        <v>1222.3399999999999</v>
      </c>
    </row>
    <row r="31" spans="1:11" x14ac:dyDescent="0.3">
      <c r="A31" s="101">
        <v>43047</v>
      </c>
      <c r="B31" s="96" t="s">
        <v>5</v>
      </c>
      <c r="C31" s="96">
        <v>35</v>
      </c>
      <c r="D31" s="59">
        <v>22.95</v>
      </c>
      <c r="E31" s="59">
        <v>803.25</v>
      </c>
      <c r="F31" s="96">
        <f>VLOOKUP(RevenueTableAnswer[[#This Row],[Units Sold]],DiscountTableAnswer[],2)</f>
        <v>0.25</v>
      </c>
      <c r="G31" s="96">
        <f>ROUND((1-RevenueTableAnswer[[#This Row],[Discount on Total Revenue]])*RevenueTableAnswer[[#This Row],[Total Revenue]],2)</f>
        <v>602.44000000000005</v>
      </c>
    </row>
    <row r="32" spans="1:11" x14ac:dyDescent="0.3">
      <c r="A32" s="101">
        <v>43045</v>
      </c>
      <c r="B32" s="96" t="s">
        <v>8</v>
      </c>
      <c r="C32" s="96">
        <v>21</v>
      </c>
      <c r="D32" s="59">
        <v>21.95</v>
      </c>
      <c r="E32" s="59">
        <v>460.95</v>
      </c>
      <c r="F32" s="96">
        <f>VLOOKUP(RevenueTableAnswer[[#This Row],[Units Sold]],DiscountTableAnswer[],2)</f>
        <v>0.25</v>
      </c>
      <c r="G32" s="96">
        <f>ROUND((1-RevenueTableAnswer[[#This Row],[Discount on Total Revenue]])*RevenueTableAnswer[[#This Row],[Total Revenue]],2)</f>
        <v>345.71</v>
      </c>
    </row>
    <row r="33" spans="1:7" x14ac:dyDescent="0.3">
      <c r="A33" s="101">
        <v>43047</v>
      </c>
      <c r="B33" s="96" t="s">
        <v>7</v>
      </c>
      <c r="C33" s="96">
        <v>60</v>
      </c>
      <c r="D33" s="59">
        <v>43.95</v>
      </c>
      <c r="E33" s="59">
        <v>2637</v>
      </c>
      <c r="F33" s="96">
        <f>VLOOKUP(RevenueTableAnswer[[#This Row],[Units Sold]],DiscountTableAnswer[],2)</f>
        <v>0.375</v>
      </c>
      <c r="G33" s="96">
        <f>ROUND((1-RevenueTableAnswer[[#This Row],[Discount on Total Revenue]])*RevenueTableAnswer[[#This Row],[Total Revenue]],2)</f>
        <v>1648.13</v>
      </c>
    </row>
    <row r="34" spans="1:7" x14ac:dyDescent="0.3">
      <c r="A34" s="101">
        <v>43045</v>
      </c>
      <c r="B34" s="96" t="s">
        <v>5</v>
      </c>
      <c r="C34" s="96">
        <v>132</v>
      </c>
      <c r="D34" s="59">
        <v>22.95</v>
      </c>
      <c r="E34" s="59">
        <v>3029.4</v>
      </c>
      <c r="F34" s="96">
        <f>VLOOKUP(RevenueTableAnswer[[#This Row],[Units Sold]],DiscountTableAnswer[],2)</f>
        <v>0.4375</v>
      </c>
      <c r="G34" s="96">
        <f>ROUND((1-RevenueTableAnswer[[#This Row],[Discount on Total Revenue]])*RevenueTableAnswer[[#This Row],[Total Revenue]],2)</f>
        <v>1704.04</v>
      </c>
    </row>
    <row r="35" spans="1:7" x14ac:dyDescent="0.3">
      <c r="A35" s="101">
        <v>43047</v>
      </c>
      <c r="B35" s="96" t="s">
        <v>13</v>
      </c>
      <c r="C35" s="96">
        <v>156</v>
      </c>
      <c r="D35" s="59">
        <v>14.95</v>
      </c>
      <c r="E35" s="59">
        <v>2332.1999999999998</v>
      </c>
      <c r="F35" s="96">
        <f>VLOOKUP(RevenueTableAnswer[[#This Row],[Units Sold]],DiscountTableAnswer[],2)</f>
        <v>0.5</v>
      </c>
      <c r="G35" s="96">
        <f>ROUND((1-RevenueTableAnswer[[#This Row],[Discount on Total Revenue]])*RevenueTableAnswer[[#This Row],[Total Revenue]],2)</f>
        <v>1166.0999999999999</v>
      </c>
    </row>
    <row r="36" spans="1:7" x14ac:dyDescent="0.3">
      <c r="A36" s="101">
        <v>43045</v>
      </c>
      <c r="B36" s="96" t="s">
        <v>13</v>
      </c>
      <c r="C36" s="96">
        <v>120</v>
      </c>
      <c r="D36" s="59">
        <v>14.95</v>
      </c>
      <c r="E36" s="59">
        <v>1794</v>
      </c>
      <c r="F36" s="96">
        <f>VLOOKUP(RevenueTableAnswer[[#This Row],[Units Sold]],DiscountTableAnswer[],2)</f>
        <v>0.4375</v>
      </c>
      <c r="G36" s="96">
        <f>ROUND((1-RevenueTableAnswer[[#This Row],[Discount on Total Revenue]])*RevenueTableAnswer[[#This Row],[Total Revenue]],2)</f>
        <v>1009.13</v>
      </c>
    </row>
    <row r="37" spans="1:7" x14ac:dyDescent="0.3">
      <c r="A37" s="101">
        <v>43043</v>
      </c>
      <c r="B37" s="96" t="s">
        <v>8</v>
      </c>
      <c r="C37" s="96">
        <v>55</v>
      </c>
      <c r="D37" s="59">
        <v>21.95</v>
      </c>
      <c r="E37" s="59">
        <v>1207.25</v>
      </c>
      <c r="F37" s="96">
        <f>VLOOKUP(RevenueTableAnswer[[#This Row],[Units Sold]],DiscountTableAnswer[],2)</f>
        <v>0.375</v>
      </c>
      <c r="G37" s="96">
        <f>ROUND((1-RevenueTableAnswer[[#This Row],[Discount on Total Revenue]])*RevenueTableAnswer[[#This Row],[Total Revenue]],2)</f>
        <v>754.53</v>
      </c>
    </row>
    <row r="38" spans="1:7" x14ac:dyDescent="0.3">
      <c r="A38" s="101">
        <v>43042</v>
      </c>
      <c r="B38" s="96" t="s">
        <v>8</v>
      </c>
      <c r="C38" s="96">
        <v>165</v>
      </c>
      <c r="D38" s="59">
        <v>21.95</v>
      </c>
      <c r="E38" s="59">
        <v>3621.75</v>
      </c>
      <c r="F38" s="96">
        <f>VLOOKUP(RevenueTableAnswer[[#This Row],[Units Sold]],DiscountTableAnswer[],2)</f>
        <v>0.5</v>
      </c>
      <c r="G38" s="96">
        <f>ROUND((1-RevenueTableAnswer[[#This Row],[Discount on Total Revenue]])*RevenueTableAnswer[[#This Row],[Total Revenue]],2)</f>
        <v>1810.88</v>
      </c>
    </row>
    <row r="39" spans="1:7" x14ac:dyDescent="0.3">
      <c r="A39" s="101">
        <v>43046</v>
      </c>
      <c r="B39" s="96" t="s">
        <v>8</v>
      </c>
      <c r="C39" s="96">
        <v>124</v>
      </c>
      <c r="D39" s="59">
        <v>21.95</v>
      </c>
      <c r="E39" s="59">
        <v>2721.7999999999997</v>
      </c>
      <c r="F39" s="96">
        <f>VLOOKUP(RevenueTableAnswer[[#This Row],[Units Sold]],DiscountTableAnswer[],2)</f>
        <v>0.4375</v>
      </c>
      <c r="G39" s="96">
        <f>ROUND((1-RevenueTableAnswer[[#This Row],[Discount on Total Revenue]])*RevenueTableAnswer[[#This Row],[Total Revenue]],2)</f>
        <v>1531.01</v>
      </c>
    </row>
    <row r="40" spans="1:7" x14ac:dyDescent="0.3">
      <c r="A40" s="101">
        <v>43046</v>
      </c>
      <c r="B40" s="96" t="s">
        <v>13</v>
      </c>
      <c r="C40" s="96">
        <v>155</v>
      </c>
      <c r="D40" s="59">
        <v>14.95</v>
      </c>
      <c r="E40" s="59">
        <v>2317.25</v>
      </c>
      <c r="F40" s="96">
        <f>VLOOKUP(RevenueTableAnswer[[#This Row],[Units Sold]],DiscountTableAnswer[],2)</f>
        <v>0.5</v>
      </c>
      <c r="G40" s="96">
        <f>ROUND((1-RevenueTableAnswer[[#This Row],[Discount on Total Revenue]])*RevenueTableAnswer[[#This Row],[Total Revenue]],2)</f>
        <v>1158.6300000000001</v>
      </c>
    </row>
    <row r="41" spans="1:7" x14ac:dyDescent="0.3">
      <c r="A41" s="101">
        <v>43045</v>
      </c>
      <c r="B41" s="96" t="s">
        <v>5</v>
      </c>
      <c r="C41" s="96">
        <v>33</v>
      </c>
      <c r="D41" s="59">
        <v>22.95</v>
      </c>
      <c r="E41" s="59">
        <v>757.35</v>
      </c>
      <c r="F41" s="96">
        <f>VLOOKUP(RevenueTableAnswer[[#This Row],[Units Sold]],DiscountTableAnswer[],2)</f>
        <v>0.25</v>
      </c>
      <c r="G41" s="96">
        <f>ROUND((1-RevenueTableAnswer[[#This Row],[Discount on Total Revenue]])*RevenueTableAnswer[[#This Row],[Total Revenue]],2)</f>
        <v>568.01</v>
      </c>
    </row>
    <row r="42" spans="1:7" x14ac:dyDescent="0.3">
      <c r="A42" s="101">
        <v>43047</v>
      </c>
      <c r="B42" s="96" t="s">
        <v>8</v>
      </c>
      <c r="C42" s="96">
        <v>76</v>
      </c>
      <c r="D42" s="59">
        <v>21.95</v>
      </c>
      <c r="E42" s="59">
        <v>1668.2</v>
      </c>
      <c r="F42" s="96">
        <f>VLOOKUP(RevenueTableAnswer[[#This Row],[Units Sold]],DiscountTableAnswer[],2)</f>
        <v>0.375</v>
      </c>
      <c r="G42" s="96">
        <f>ROUND((1-RevenueTableAnswer[[#This Row],[Discount on Total Revenue]])*RevenueTableAnswer[[#This Row],[Total Revenue]],2)</f>
        <v>1042.6300000000001</v>
      </c>
    </row>
    <row r="43" spans="1:7" x14ac:dyDescent="0.3">
      <c r="A43" s="101">
        <v>43044</v>
      </c>
      <c r="B43" s="96" t="s">
        <v>8</v>
      </c>
      <c r="C43" s="96">
        <v>49</v>
      </c>
      <c r="D43" s="59">
        <v>21.95</v>
      </c>
      <c r="E43" s="59">
        <v>1075.55</v>
      </c>
      <c r="F43" s="96">
        <f>VLOOKUP(RevenueTableAnswer[[#This Row],[Units Sold]],DiscountTableAnswer[],2)</f>
        <v>0.375</v>
      </c>
      <c r="G43" s="96">
        <f>ROUND((1-RevenueTableAnswer[[#This Row],[Discount on Total Revenue]])*RevenueTableAnswer[[#This Row],[Total Revenue]],2)</f>
        <v>672.22</v>
      </c>
    </row>
    <row r="44" spans="1:7" x14ac:dyDescent="0.3">
      <c r="A44" s="101">
        <v>43042</v>
      </c>
      <c r="B44" s="96" t="s">
        <v>13</v>
      </c>
      <c r="C44" s="96">
        <v>26</v>
      </c>
      <c r="D44" s="59">
        <v>14.95</v>
      </c>
      <c r="E44" s="59">
        <v>388.7</v>
      </c>
      <c r="F44" s="96">
        <f>VLOOKUP(RevenueTableAnswer[[#This Row],[Units Sold]],DiscountTableAnswer[],2)</f>
        <v>0.25</v>
      </c>
      <c r="G44" s="96">
        <f>ROUND((1-RevenueTableAnswer[[#This Row],[Discount on Total Revenue]])*RevenueTableAnswer[[#This Row],[Total Revenue]],2)</f>
        <v>291.52999999999997</v>
      </c>
    </row>
    <row r="45" spans="1:7" x14ac:dyDescent="0.3">
      <c r="A45" s="101">
        <v>43041</v>
      </c>
      <c r="B45" s="96" t="s">
        <v>8</v>
      </c>
      <c r="C45" s="96">
        <v>30</v>
      </c>
      <c r="D45" s="59">
        <v>21.95</v>
      </c>
      <c r="E45" s="59">
        <v>658.5</v>
      </c>
      <c r="F45" s="96">
        <f>VLOOKUP(RevenueTableAnswer[[#This Row],[Units Sold]],DiscountTableAnswer[],2)</f>
        <v>0.25</v>
      </c>
      <c r="G45" s="96">
        <f>ROUND((1-RevenueTableAnswer[[#This Row],[Discount on Total Revenue]])*RevenueTableAnswer[[#This Row],[Total Revenue]],2)</f>
        <v>493.88</v>
      </c>
    </row>
    <row r="46" spans="1:7" x14ac:dyDescent="0.3">
      <c r="A46" s="101">
        <v>43042</v>
      </c>
      <c r="B46" s="96" t="s">
        <v>7</v>
      </c>
      <c r="C46" s="96">
        <v>116</v>
      </c>
      <c r="D46" s="59">
        <v>43.95</v>
      </c>
      <c r="E46" s="59">
        <v>5098.2000000000007</v>
      </c>
      <c r="F46" s="96">
        <f>VLOOKUP(RevenueTableAnswer[[#This Row],[Units Sold]],DiscountTableAnswer[],2)</f>
        <v>0.4375</v>
      </c>
      <c r="G46" s="96">
        <f>ROUND((1-RevenueTableAnswer[[#This Row],[Discount on Total Revenue]])*RevenueTableAnswer[[#This Row],[Total Revenue]],2)</f>
        <v>2867.74</v>
      </c>
    </row>
    <row r="47" spans="1:7" x14ac:dyDescent="0.3">
      <c r="A47" s="101">
        <v>43041</v>
      </c>
      <c r="B47" s="96" t="s">
        <v>5</v>
      </c>
      <c r="C47" s="96">
        <v>45</v>
      </c>
      <c r="D47" s="59">
        <v>22.95</v>
      </c>
      <c r="E47" s="59">
        <v>1032.75</v>
      </c>
      <c r="F47" s="96">
        <f>VLOOKUP(RevenueTableAnswer[[#This Row],[Units Sold]],DiscountTableAnswer[],2)</f>
        <v>0.25</v>
      </c>
      <c r="G47" s="96">
        <f>ROUND((1-RevenueTableAnswer[[#This Row],[Discount on Total Revenue]])*RevenueTableAnswer[[#This Row],[Total Revenue]],2)</f>
        <v>774.56</v>
      </c>
    </row>
    <row r="48" spans="1:7" x14ac:dyDescent="0.3">
      <c r="A48" s="101">
        <v>43041</v>
      </c>
      <c r="B48" s="96" t="s">
        <v>13</v>
      </c>
      <c r="C48" s="96">
        <v>47</v>
      </c>
      <c r="D48" s="59">
        <v>14.95</v>
      </c>
      <c r="E48" s="59">
        <v>702.65</v>
      </c>
      <c r="F48" s="96">
        <f>VLOOKUP(RevenueTableAnswer[[#This Row],[Units Sold]],DiscountTableAnswer[],2)</f>
        <v>0.25</v>
      </c>
      <c r="G48" s="96">
        <f>ROUND((1-RevenueTableAnswer[[#This Row],[Discount on Total Revenue]])*RevenueTableAnswer[[#This Row],[Total Revenue]],2)</f>
        <v>526.99</v>
      </c>
    </row>
    <row r="49" spans="1:7" x14ac:dyDescent="0.3">
      <c r="A49" s="101">
        <v>43044</v>
      </c>
      <c r="B49" s="96" t="s">
        <v>7</v>
      </c>
      <c r="C49" s="96">
        <v>113</v>
      </c>
      <c r="D49" s="59">
        <v>43.95</v>
      </c>
      <c r="E49" s="59">
        <v>4966.3500000000004</v>
      </c>
      <c r="F49" s="96">
        <f>VLOOKUP(RevenueTableAnswer[[#This Row],[Units Sold]],DiscountTableAnswer[],2)</f>
        <v>0.4375</v>
      </c>
      <c r="G49" s="96">
        <f>ROUND((1-RevenueTableAnswer[[#This Row],[Discount on Total Revenue]])*RevenueTableAnswer[[#This Row],[Total Revenue]],2)</f>
        <v>2793.57</v>
      </c>
    </row>
    <row r="50" spans="1:7" x14ac:dyDescent="0.3">
      <c r="A50" s="101">
        <v>43043</v>
      </c>
      <c r="B50" s="96" t="s">
        <v>7</v>
      </c>
      <c r="C50" s="96">
        <v>70</v>
      </c>
      <c r="D50" s="59">
        <v>43.95</v>
      </c>
      <c r="E50" s="59">
        <v>3076.5</v>
      </c>
      <c r="F50" s="96">
        <f>VLOOKUP(RevenueTableAnswer[[#This Row],[Units Sold]],DiscountTableAnswer[],2)</f>
        <v>0.375</v>
      </c>
      <c r="G50" s="96">
        <f>ROUND((1-RevenueTableAnswer[[#This Row],[Discount on Total Revenue]])*RevenueTableAnswer[[#This Row],[Total Revenue]],2)</f>
        <v>1922.81</v>
      </c>
    </row>
    <row r="51" spans="1:7" x14ac:dyDescent="0.3">
      <c r="A51" s="101">
        <v>43043</v>
      </c>
      <c r="B51" s="96" t="s">
        <v>7</v>
      </c>
      <c r="C51" s="96">
        <v>173</v>
      </c>
      <c r="D51" s="59">
        <v>43.95</v>
      </c>
      <c r="E51" s="59">
        <v>7603.35</v>
      </c>
      <c r="F51" s="96">
        <f>VLOOKUP(RevenueTableAnswer[[#This Row],[Units Sold]],DiscountTableAnswer[],2)</f>
        <v>0.55000000000000004</v>
      </c>
      <c r="G51" s="96">
        <f>ROUND((1-RevenueTableAnswer[[#This Row],[Discount on Total Revenue]])*RevenueTableAnswer[[#This Row],[Total Revenue]],2)</f>
        <v>3421.51</v>
      </c>
    </row>
    <row r="52" spans="1:7" x14ac:dyDescent="0.3">
      <c r="A52" s="101">
        <v>43044</v>
      </c>
      <c r="B52" s="96" t="s">
        <v>5</v>
      </c>
      <c r="C52" s="96">
        <v>54</v>
      </c>
      <c r="D52" s="59">
        <v>22.95</v>
      </c>
      <c r="E52" s="59">
        <v>1239.3</v>
      </c>
      <c r="F52" s="96">
        <f>VLOOKUP(RevenueTableAnswer[[#This Row],[Units Sold]],DiscountTableAnswer[],2)</f>
        <v>0.375</v>
      </c>
      <c r="G52" s="96">
        <f>ROUND((1-RevenueTableAnswer[[#This Row],[Discount on Total Revenue]])*RevenueTableAnswer[[#This Row],[Total Revenue]],2)</f>
        <v>774.56</v>
      </c>
    </row>
    <row r="53" spans="1:7" x14ac:dyDescent="0.3">
      <c r="A53" s="101">
        <v>43041</v>
      </c>
      <c r="B53" s="96" t="s">
        <v>5</v>
      </c>
      <c r="C53" s="96">
        <v>122</v>
      </c>
      <c r="D53" s="59">
        <v>22.95</v>
      </c>
      <c r="E53" s="59">
        <v>2799.9</v>
      </c>
      <c r="F53" s="96">
        <f>VLOOKUP(RevenueTableAnswer[[#This Row],[Units Sold]],DiscountTableAnswer[],2)</f>
        <v>0.4375</v>
      </c>
      <c r="G53" s="96">
        <f>ROUND((1-RevenueTableAnswer[[#This Row],[Discount on Total Revenue]])*RevenueTableAnswer[[#This Row],[Total Revenue]],2)</f>
        <v>1574.94</v>
      </c>
    </row>
    <row r="54" spans="1:7" x14ac:dyDescent="0.3">
      <c r="A54" s="101">
        <v>43040</v>
      </c>
      <c r="B54" s="96" t="s">
        <v>13</v>
      </c>
      <c r="C54" s="96">
        <v>3</v>
      </c>
      <c r="D54" s="59">
        <v>14.95</v>
      </c>
      <c r="E54" s="59">
        <v>44.849999999999994</v>
      </c>
      <c r="F54" s="96">
        <f>VLOOKUP(RevenueTableAnswer[[#This Row],[Units Sold]],DiscountTableAnswer[],2)</f>
        <v>0</v>
      </c>
      <c r="G54" s="96">
        <f>ROUND((1-RevenueTableAnswer[[#This Row],[Discount on Total Revenue]])*RevenueTableAnswer[[#This Row],[Total Revenue]],2)</f>
        <v>44.85</v>
      </c>
    </row>
    <row r="55" spans="1:7" x14ac:dyDescent="0.3">
      <c r="A55" s="101">
        <v>43042</v>
      </c>
      <c r="B55" s="96" t="s">
        <v>8</v>
      </c>
      <c r="C55" s="96">
        <v>122</v>
      </c>
      <c r="D55" s="59">
        <v>21.95</v>
      </c>
      <c r="E55" s="59">
        <v>2677.9</v>
      </c>
      <c r="F55" s="96">
        <f>VLOOKUP(RevenueTableAnswer[[#This Row],[Units Sold]],DiscountTableAnswer[],2)</f>
        <v>0.4375</v>
      </c>
      <c r="G55" s="96">
        <f>ROUND((1-RevenueTableAnswer[[#This Row],[Discount on Total Revenue]])*RevenueTableAnswer[[#This Row],[Total Revenue]],2)</f>
        <v>1506.32</v>
      </c>
    </row>
    <row r="56" spans="1:7" x14ac:dyDescent="0.3">
      <c r="A56" s="101">
        <v>43041</v>
      </c>
      <c r="B56" s="96" t="s">
        <v>8</v>
      </c>
      <c r="C56" s="96">
        <v>81</v>
      </c>
      <c r="D56" s="59">
        <v>21.95</v>
      </c>
      <c r="E56" s="59">
        <v>1777.95</v>
      </c>
      <c r="F56" s="96">
        <f>VLOOKUP(RevenueTableAnswer[[#This Row],[Units Sold]],DiscountTableAnswer[],2)</f>
        <v>0.375</v>
      </c>
      <c r="G56" s="96">
        <f>ROUND((1-RevenueTableAnswer[[#This Row],[Discount on Total Revenue]])*RevenueTableAnswer[[#This Row],[Total Revenue]],2)</f>
        <v>1111.22</v>
      </c>
    </row>
    <row r="57" spans="1:7" x14ac:dyDescent="0.3">
      <c r="A57" s="101">
        <v>43045</v>
      </c>
      <c r="B57" s="96" t="s">
        <v>8</v>
      </c>
      <c r="C57" s="96">
        <v>21</v>
      </c>
      <c r="D57" s="59">
        <v>21.95</v>
      </c>
      <c r="E57" s="59">
        <v>460.95</v>
      </c>
      <c r="F57" s="96">
        <f>VLOOKUP(RevenueTableAnswer[[#This Row],[Units Sold]],DiscountTableAnswer[],2)</f>
        <v>0.25</v>
      </c>
      <c r="G57" s="96">
        <f>ROUND((1-RevenueTableAnswer[[#This Row],[Discount on Total Revenue]])*RevenueTableAnswer[[#This Row],[Total Revenue]],2)</f>
        <v>345.71</v>
      </c>
    </row>
    <row r="58" spans="1:7" x14ac:dyDescent="0.3">
      <c r="A58" s="101">
        <v>43042</v>
      </c>
      <c r="B58" s="96" t="s">
        <v>5</v>
      </c>
      <c r="C58" s="96">
        <v>144</v>
      </c>
      <c r="D58" s="59">
        <v>22.95</v>
      </c>
      <c r="E58" s="59">
        <v>3304.7999999999997</v>
      </c>
      <c r="F58" s="96">
        <f>VLOOKUP(RevenueTableAnswer[[#This Row],[Units Sold]],DiscountTableAnswer[],2)</f>
        <v>0.5</v>
      </c>
      <c r="G58" s="96">
        <f>ROUND((1-RevenueTableAnswer[[#This Row],[Discount on Total Revenue]])*RevenueTableAnswer[[#This Row],[Total Revenue]],2)</f>
        <v>1652.4</v>
      </c>
    </row>
    <row r="59" spans="1:7" x14ac:dyDescent="0.3">
      <c r="A59" s="101">
        <v>43046</v>
      </c>
      <c r="B59" s="96" t="s">
        <v>13</v>
      </c>
      <c r="C59" s="96">
        <v>139</v>
      </c>
      <c r="D59" s="59">
        <v>14.95</v>
      </c>
      <c r="E59" s="59">
        <v>2078.0499999999997</v>
      </c>
      <c r="F59" s="96">
        <f>VLOOKUP(RevenueTableAnswer[[#This Row],[Units Sold]],DiscountTableAnswer[],2)</f>
        <v>0.4375</v>
      </c>
      <c r="G59" s="96">
        <f>ROUND((1-RevenueTableAnswer[[#This Row],[Discount on Total Revenue]])*RevenueTableAnswer[[#This Row],[Total Revenue]],2)</f>
        <v>1168.9000000000001</v>
      </c>
    </row>
    <row r="60" spans="1:7" x14ac:dyDescent="0.3">
      <c r="A60" s="101">
        <v>43042</v>
      </c>
      <c r="B60" s="96" t="s">
        <v>13</v>
      </c>
      <c r="C60" s="96">
        <v>105</v>
      </c>
      <c r="D60" s="59">
        <v>14.95</v>
      </c>
      <c r="E60" s="59">
        <v>1569.75</v>
      </c>
      <c r="F60" s="96">
        <f>VLOOKUP(RevenueTableAnswer[[#This Row],[Units Sold]],DiscountTableAnswer[],2)</f>
        <v>0.4375</v>
      </c>
      <c r="G60" s="96">
        <f>ROUND((1-RevenueTableAnswer[[#This Row],[Discount on Total Revenue]])*RevenueTableAnswer[[#This Row],[Total Revenue]],2)</f>
        <v>882.98</v>
      </c>
    </row>
    <row r="61" spans="1:7" x14ac:dyDescent="0.3">
      <c r="A61" s="101">
        <v>43043</v>
      </c>
      <c r="B61" s="96" t="s">
        <v>5</v>
      </c>
      <c r="C61" s="96">
        <v>14</v>
      </c>
      <c r="D61" s="59">
        <v>22.95</v>
      </c>
      <c r="E61" s="59">
        <v>321.3</v>
      </c>
      <c r="F61" s="96">
        <f>VLOOKUP(RevenueTableAnswer[[#This Row],[Units Sold]],DiscountTableAnswer[],2)</f>
        <v>0.25</v>
      </c>
      <c r="G61" s="96">
        <f>ROUND((1-RevenueTableAnswer[[#This Row],[Discount on Total Revenue]])*RevenueTableAnswer[[#This Row],[Total Revenue]],2)</f>
        <v>240.98</v>
      </c>
    </row>
    <row r="62" spans="1:7" x14ac:dyDescent="0.3">
      <c r="A62" s="101">
        <v>43043</v>
      </c>
      <c r="B62" s="96" t="s">
        <v>5</v>
      </c>
      <c r="C62" s="96">
        <v>95</v>
      </c>
      <c r="D62" s="59">
        <v>22.95</v>
      </c>
      <c r="E62" s="59">
        <v>2180.25</v>
      </c>
      <c r="F62" s="96">
        <f>VLOOKUP(RevenueTableAnswer[[#This Row],[Units Sold]],DiscountTableAnswer[],2)</f>
        <v>0.375</v>
      </c>
      <c r="G62" s="96">
        <f>ROUND((1-RevenueTableAnswer[[#This Row],[Discount on Total Revenue]])*RevenueTableAnswer[[#This Row],[Total Revenue]],2)</f>
        <v>1362.66</v>
      </c>
    </row>
    <row r="63" spans="1:7" x14ac:dyDescent="0.3">
      <c r="A63" s="101">
        <v>43042</v>
      </c>
      <c r="B63" s="96" t="s">
        <v>7</v>
      </c>
      <c r="C63" s="96">
        <v>142</v>
      </c>
      <c r="D63" s="59">
        <v>43.95</v>
      </c>
      <c r="E63" s="59">
        <v>6240.9000000000005</v>
      </c>
      <c r="F63" s="96">
        <f>VLOOKUP(RevenueTableAnswer[[#This Row],[Units Sold]],DiscountTableAnswer[],2)</f>
        <v>0.4375</v>
      </c>
      <c r="G63" s="96">
        <f>ROUND((1-RevenueTableAnswer[[#This Row],[Discount on Total Revenue]])*RevenueTableAnswer[[#This Row],[Total Revenue]],2)</f>
        <v>3510.51</v>
      </c>
    </row>
    <row r="64" spans="1:7" x14ac:dyDescent="0.3">
      <c r="A64" s="101">
        <v>43040</v>
      </c>
      <c r="B64" s="96" t="s">
        <v>13</v>
      </c>
      <c r="C64" s="96">
        <v>150</v>
      </c>
      <c r="D64" s="59">
        <v>14.95</v>
      </c>
      <c r="E64" s="59">
        <v>2242.5</v>
      </c>
      <c r="F64" s="96">
        <f>VLOOKUP(RevenueTableAnswer[[#This Row],[Units Sold]],DiscountTableAnswer[],2)</f>
        <v>0.5</v>
      </c>
      <c r="G64" s="96">
        <f>ROUND((1-RevenueTableAnswer[[#This Row],[Discount on Total Revenue]])*RevenueTableAnswer[[#This Row],[Total Revenue]],2)</f>
        <v>1121.25</v>
      </c>
    </row>
    <row r="65" spans="1:7" x14ac:dyDescent="0.3">
      <c r="A65" s="101">
        <v>43045</v>
      </c>
      <c r="B65" s="96" t="s">
        <v>8</v>
      </c>
      <c r="C65" s="96">
        <v>79</v>
      </c>
      <c r="D65" s="59">
        <v>21.95</v>
      </c>
      <c r="E65" s="59">
        <v>1734.05</v>
      </c>
      <c r="F65" s="96">
        <f>VLOOKUP(RevenueTableAnswer[[#This Row],[Units Sold]],DiscountTableAnswer[],2)</f>
        <v>0.375</v>
      </c>
      <c r="G65" s="96">
        <f>ROUND((1-RevenueTableAnswer[[#This Row],[Discount on Total Revenue]])*RevenueTableAnswer[[#This Row],[Total Revenue]],2)</f>
        <v>1083.78</v>
      </c>
    </row>
    <row r="66" spans="1:7" x14ac:dyDescent="0.3">
      <c r="A66" s="101">
        <v>43040</v>
      </c>
      <c r="B66" s="96" t="s">
        <v>13</v>
      </c>
      <c r="C66" s="96">
        <v>57</v>
      </c>
      <c r="D66" s="59">
        <v>14.95</v>
      </c>
      <c r="E66" s="59">
        <v>852.15</v>
      </c>
      <c r="F66" s="96">
        <f>VLOOKUP(RevenueTableAnswer[[#This Row],[Units Sold]],DiscountTableAnswer[],2)</f>
        <v>0.375</v>
      </c>
      <c r="G66" s="96">
        <f>ROUND((1-RevenueTableAnswer[[#This Row],[Discount on Total Revenue]])*RevenueTableAnswer[[#This Row],[Total Revenue]],2)</f>
        <v>532.59</v>
      </c>
    </row>
    <row r="67" spans="1:7" x14ac:dyDescent="0.3">
      <c r="A67" s="101">
        <v>43043</v>
      </c>
      <c r="B67" s="96" t="s">
        <v>13</v>
      </c>
      <c r="C67" s="96">
        <v>62</v>
      </c>
      <c r="D67" s="59">
        <v>14.95</v>
      </c>
      <c r="E67" s="59">
        <v>926.9</v>
      </c>
      <c r="F67" s="96">
        <f>VLOOKUP(RevenueTableAnswer[[#This Row],[Units Sold]],DiscountTableAnswer[],2)</f>
        <v>0.375</v>
      </c>
      <c r="G67" s="96">
        <f>ROUND((1-RevenueTableAnswer[[#This Row],[Discount on Total Revenue]])*RevenueTableAnswer[[#This Row],[Total Revenue]],2)</f>
        <v>579.30999999999995</v>
      </c>
    </row>
    <row r="68" spans="1:7" x14ac:dyDescent="0.3">
      <c r="A68" s="101">
        <v>43041</v>
      </c>
      <c r="B68" s="96" t="s">
        <v>13</v>
      </c>
      <c r="C68" s="96">
        <v>177</v>
      </c>
      <c r="D68" s="59">
        <v>14.95</v>
      </c>
      <c r="E68" s="59">
        <v>2646.15</v>
      </c>
      <c r="F68" s="96">
        <f>VLOOKUP(RevenueTableAnswer[[#This Row],[Units Sold]],DiscountTableAnswer[],2)</f>
        <v>0.55000000000000004</v>
      </c>
      <c r="G68" s="96">
        <f>ROUND((1-RevenueTableAnswer[[#This Row],[Discount on Total Revenue]])*RevenueTableAnswer[[#This Row],[Total Revenue]],2)</f>
        <v>1190.77</v>
      </c>
    </row>
    <row r="69" spans="1:7" x14ac:dyDescent="0.3">
      <c r="A69" s="101">
        <v>43044</v>
      </c>
      <c r="B69" s="96" t="s">
        <v>5</v>
      </c>
      <c r="C69" s="96">
        <v>165</v>
      </c>
      <c r="D69" s="59">
        <v>22.95</v>
      </c>
      <c r="E69" s="59">
        <v>3786.75</v>
      </c>
      <c r="F69" s="96">
        <f>VLOOKUP(RevenueTableAnswer[[#This Row],[Units Sold]],DiscountTableAnswer[],2)</f>
        <v>0.5</v>
      </c>
      <c r="G69" s="96">
        <f>ROUND((1-RevenueTableAnswer[[#This Row],[Discount on Total Revenue]])*RevenueTableAnswer[[#This Row],[Total Revenue]],2)</f>
        <v>1893.38</v>
      </c>
    </row>
    <row r="70" spans="1:7" x14ac:dyDescent="0.3">
      <c r="A70" s="101">
        <v>43041</v>
      </c>
      <c r="B70" s="96" t="s">
        <v>8</v>
      </c>
      <c r="C70" s="96">
        <v>37</v>
      </c>
      <c r="D70" s="59">
        <v>21.95</v>
      </c>
      <c r="E70" s="59">
        <v>812.15</v>
      </c>
      <c r="F70" s="96">
        <f>VLOOKUP(RevenueTableAnswer[[#This Row],[Units Sold]],DiscountTableAnswer[],2)</f>
        <v>0.25</v>
      </c>
      <c r="G70" s="96">
        <f>ROUND((1-RevenueTableAnswer[[#This Row],[Discount on Total Revenue]])*RevenueTableAnswer[[#This Row],[Total Revenue]],2)</f>
        <v>609.11</v>
      </c>
    </row>
    <row r="71" spans="1:7" x14ac:dyDescent="0.3">
      <c r="A71" s="101">
        <v>43044</v>
      </c>
      <c r="B71" s="96" t="s">
        <v>8</v>
      </c>
      <c r="C71" s="96">
        <v>181</v>
      </c>
      <c r="D71" s="59">
        <v>21.95</v>
      </c>
      <c r="E71" s="59">
        <v>3972.95</v>
      </c>
      <c r="F71" s="96">
        <f>VLOOKUP(RevenueTableAnswer[[#This Row],[Units Sold]],DiscountTableAnswer[],2)</f>
        <v>0.55000000000000004</v>
      </c>
      <c r="G71" s="96">
        <f>ROUND((1-RevenueTableAnswer[[#This Row],[Discount on Total Revenue]])*RevenueTableAnswer[[#This Row],[Total Revenue]],2)</f>
        <v>1787.83</v>
      </c>
    </row>
    <row r="72" spans="1:7" x14ac:dyDescent="0.3">
      <c r="A72" s="101">
        <v>43043</v>
      </c>
      <c r="B72" s="96" t="s">
        <v>8</v>
      </c>
      <c r="C72" s="96">
        <v>148</v>
      </c>
      <c r="D72" s="59">
        <v>21.95</v>
      </c>
      <c r="E72" s="59">
        <v>3248.6</v>
      </c>
      <c r="F72" s="96">
        <f>VLOOKUP(RevenueTableAnswer[[#This Row],[Units Sold]],DiscountTableAnswer[],2)</f>
        <v>0.5</v>
      </c>
      <c r="G72" s="96">
        <f>ROUND((1-RevenueTableAnswer[[#This Row],[Discount on Total Revenue]])*RevenueTableAnswer[[#This Row],[Total Revenue]],2)</f>
        <v>1624.3</v>
      </c>
    </row>
    <row r="73" spans="1:7" x14ac:dyDescent="0.3">
      <c r="A73" s="101">
        <v>43047</v>
      </c>
      <c r="B73" s="96" t="s">
        <v>5</v>
      </c>
      <c r="C73" s="96">
        <v>132</v>
      </c>
      <c r="D73" s="59">
        <v>22.95</v>
      </c>
      <c r="E73" s="59">
        <v>3029.4</v>
      </c>
      <c r="F73" s="96">
        <f>VLOOKUP(RevenueTableAnswer[[#This Row],[Units Sold]],DiscountTableAnswer[],2)</f>
        <v>0.4375</v>
      </c>
      <c r="G73" s="96">
        <f>ROUND((1-RevenueTableAnswer[[#This Row],[Discount on Total Revenue]])*RevenueTableAnswer[[#This Row],[Total Revenue]],2)</f>
        <v>1704.04</v>
      </c>
    </row>
    <row r="74" spans="1:7" x14ac:dyDescent="0.3">
      <c r="A74" s="101">
        <v>43045</v>
      </c>
      <c r="B74" s="96" t="s">
        <v>13</v>
      </c>
      <c r="C74" s="96">
        <v>3</v>
      </c>
      <c r="D74" s="59">
        <v>14.95</v>
      </c>
      <c r="E74" s="59">
        <v>44.849999999999994</v>
      </c>
      <c r="F74" s="96">
        <f>VLOOKUP(RevenueTableAnswer[[#This Row],[Units Sold]],DiscountTableAnswer[],2)</f>
        <v>0</v>
      </c>
      <c r="G74" s="96">
        <f>ROUND((1-RevenueTableAnswer[[#This Row],[Discount on Total Revenue]])*RevenueTableAnswer[[#This Row],[Total Revenue]],2)</f>
        <v>44.85</v>
      </c>
    </row>
    <row r="75" spans="1:7" x14ac:dyDescent="0.3">
      <c r="A75" s="101">
        <v>43040</v>
      </c>
      <c r="B75" s="96" t="s">
        <v>13</v>
      </c>
      <c r="C75" s="96">
        <v>121</v>
      </c>
      <c r="D75" s="59">
        <v>14.95</v>
      </c>
      <c r="E75" s="59">
        <v>1808.9499999999998</v>
      </c>
      <c r="F75" s="96">
        <f>VLOOKUP(RevenueTableAnswer[[#This Row],[Units Sold]],DiscountTableAnswer[],2)</f>
        <v>0.4375</v>
      </c>
      <c r="G75" s="96">
        <f>ROUND((1-RevenueTableAnswer[[#This Row],[Discount on Total Revenue]])*RevenueTableAnswer[[#This Row],[Total Revenue]],2)</f>
        <v>1017.53</v>
      </c>
    </row>
    <row r="76" spans="1:7" x14ac:dyDescent="0.3">
      <c r="A76" s="101">
        <v>43047</v>
      </c>
      <c r="B76" s="96" t="s">
        <v>8</v>
      </c>
      <c r="C76" s="96">
        <v>104</v>
      </c>
      <c r="D76" s="59">
        <v>21.95</v>
      </c>
      <c r="E76" s="59">
        <v>2282.7999999999997</v>
      </c>
      <c r="F76" s="96">
        <f>VLOOKUP(RevenueTableAnswer[[#This Row],[Units Sold]],DiscountTableAnswer[],2)</f>
        <v>0.4375</v>
      </c>
      <c r="G76" s="96">
        <f>ROUND((1-RevenueTableAnswer[[#This Row],[Discount on Total Revenue]])*RevenueTableAnswer[[#This Row],[Total Revenue]],2)</f>
        <v>1284.08</v>
      </c>
    </row>
    <row r="77" spans="1:7" x14ac:dyDescent="0.3">
      <c r="A77" s="101">
        <v>43047</v>
      </c>
      <c r="B77" s="96" t="s">
        <v>8</v>
      </c>
      <c r="C77" s="96">
        <v>155</v>
      </c>
      <c r="D77" s="59">
        <v>21.95</v>
      </c>
      <c r="E77" s="59">
        <v>3402.25</v>
      </c>
      <c r="F77" s="96">
        <f>VLOOKUP(RevenueTableAnswer[[#This Row],[Units Sold]],DiscountTableAnswer[],2)</f>
        <v>0.5</v>
      </c>
      <c r="G77" s="96">
        <f>ROUND((1-RevenueTableAnswer[[#This Row],[Discount on Total Revenue]])*RevenueTableAnswer[[#This Row],[Total Revenue]],2)</f>
        <v>1701.13</v>
      </c>
    </row>
    <row r="78" spans="1:7" x14ac:dyDescent="0.3">
      <c r="A78" s="101">
        <v>43045</v>
      </c>
      <c r="B78" s="96" t="s">
        <v>13</v>
      </c>
      <c r="C78" s="96">
        <v>129</v>
      </c>
      <c r="D78" s="59">
        <v>14.95</v>
      </c>
      <c r="E78" s="59">
        <v>1928.55</v>
      </c>
      <c r="F78" s="96">
        <f>VLOOKUP(RevenueTableAnswer[[#This Row],[Units Sold]],DiscountTableAnswer[],2)</f>
        <v>0.4375</v>
      </c>
      <c r="G78" s="96">
        <f>ROUND((1-RevenueTableAnswer[[#This Row],[Discount on Total Revenue]])*RevenueTableAnswer[[#This Row],[Total Revenue]],2)</f>
        <v>1084.81</v>
      </c>
    </row>
    <row r="79" spans="1:7" x14ac:dyDescent="0.3">
      <c r="A79" s="101">
        <v>43040</v>
      </c>
      <c r="B79" s="96" t="s">
        <v>13</v>
      </c>
      <c r="C79" s="96">
        <v>72</v>
      </c>
      <c r="D79" s="59">
        <v>14.95</v>
      </c>
      <c r="E79" s="59">
        <v>1076.3999999999999</v>
      </c>
      <c r="F79" s="96">
        <f>VLOOKUP(RevenueTableAnswer[[#This Row],[Units Sold]],DiscountTableAnswer[],2)</f>
        <v>0.375</v>
      </c>
      <c r="G79" s="96">
        <f>ROUND((1-RevenueTableAnswer[[#This Row],[Discount on Total Revenue]])*RevenueTableAnswer[[#This Row],[Total Revenue]],2)</f>
        <v>672.75</v>
      </c>
    </row>
    <row r="80" spans="1:7" x14ac:dyDescent="0.3">
      <c r="A80" s="101">
        <v>43044</v>
      </c>
      <c r="B80" s="96" t="s">
        <v>7</v>
      </c>
      <c r="C80" s="96">
        <v>164</v>
      </c>
      <c r="D80" s="59">
        <v>43.95</v>
      </c>
      <c r="E80" s="59">
        <v>7207.8</v>
      </c>
      <c r="F80" s="96">
        <f>VLOOKUP(RevenueTableAnswer[[#This Row],[Units Sold]],DiscountTableAnswer[],2)</f>
        <v>0.5</v>
      </c>
      <c r="G80" s="96">
        <f>ROUND((1-RevenueTableAnswer[[#This Row],[Discount on Total Revenue]])*RevenueTableAnswer[[#This Row],[Total Revenue]],2)</f>
        <v>3603.9</v>
      </c>
    </row>
    <row r="81" spans="1:7" x14ac:dyDescent="0.3">
      <c r="A81" s="101">
        <v>43042</v>
      </c>
      <c r="B81" s="96" t="s">
        <v>13</v>
      </c>
      <c r="C81" s="96">
        <v>6</v>
      </c>
      <c r="D81" s="59">
        <v>14.95</v>
      </c>
      <c r="E81" s="59">
        <v>89.699999999999989</v>
      </c>
      <c r="F81" s="96">
        <f>VLOOKUP(RevenueTableAnswer[[#This Row],[Units Sold]],DiscountTableAnswer[],2)</f>
        <v>0</v>
      </c>
      <c r="G81" s="96">
        <f>ROUND((1-RevenueTableAnswer[[#This Row],[Discount on Total Revenue]])*RevenueTableAnswer[[#This Row],[Total Revenue]],2)</f>
        <v>89.7</v>
      </c>
    </row>
    <row r="82" spans="1:7" x14ac:dyDescent="0.3">
      <c r="A82" s="101">
        <v>43040</v>
      </c>
      <c r="B82" s="96" t="s">
        <v>8</v>
      </c>
      <c r="C82" s="96">
        <v>46</v>
      </c>
      <c r="D82" s="59">
        <v>21.95</v>
      </c>
      <c r="E82" s="59">
        <v>1009.6999999999999</v>
      </c>
      <c r="F82" s="96">
        <f>VLOOKUP(RevenueTableAnswer[[#This Row],[Units Sold]],DiscountTableAnswer[],2)</f>
        <v>0.25</v>
      </c>
      <c r="G82" s="96">
        <f>ROUND((1-RevenueTableAnswer[[#This Row],[Discount on Total Revenue]])*RevenueTableAnswer[[#This Row],[Total Revenue]],2)</f>
        <v>757.28</v>
      </c>
    </row>
    <row r="83" spans="1:7" x14ac:dyDescent="0.3">
      <c r="A83" s="101">
        <v>43047</v>
      </c>
      <c r="B83" s="96" t="s">
        <v>13</v>
      </c>
      <c r="C83" s="96">
        <v>182</v>
      </c>
      <c r="D83" s="59">
        <v>14.95</v>
      </c>
      <c r="E83" s="59">
        <v>2720.9</v>
      </c>
      <c r="F83" s="96">
        <f>VLOOKUP(RevenueTableAnswer[[#This Row],[Units Sold]],DiscountTableAnswer[],2)</f>
        <v>0.55000000000000004</v>
      </c>
      <c r="G83" s="96">
        <f>ROUND((1-RevenueTableAnswer[[#This Row],[Discount on Total Revenue]])*RevenueTableAnswer[[#This Row],[Total Revenue]],2)</f>
        <v>1224.4100000000001</v>
      </c>
    </row>
    <row r="84" spans="1:7" x14ac:dyDescent="0.3">
      <c r="A84" s="101">
        <v>43041</v>
      </c>
      <c r="B84" s="96" t="s">
        <v>13</v>
      </c>
      <c r="C84" s="96">
        <v>11</v>
      </c>
      <c r="D84" s="59">
        <v>14.95</v>
      </c>
      <c r="E84" s="59">
        <v>164.45</v>
      </c>
      <c r="F84" s="96">
        <f>VLOOKUP(RevenueTableAnswer[[#This Row],[Units Sold]],DiscountTableAnswer[],2)</f>
        <v>0</v>
      </c>
      <c r="G84" s="96">
        <f>ROUND((1-RevenueTableAnswer[[#This Row],[Discount on Total Revenue]])*RevenueTableAnswer[[#This Row],[Total Revenue]],2)</f>
        <v>164.45</v>
      </c>
    </row>
    <row r="85" spans="1:7" x14ac:dyDescent="0.3">
      <c r="A85" s="101">
        <v>43047</v>
      </c>
      <c r="B85" s="96" t="s">
        <v>7</v>
      </c>
      <c r="C85" s="96">
        <v>18</v>
      </c>
      <c r="D85" s="59">
        <v>43.95</v>
      </c>
      <c r="E85" s="59">
        <v>791.1</v>
      </c>
      <c r="F85" s="96">
        <f>VLOOKUP(RevenueTableAnswer[[#This Row],[Units Sold]],DiscountTableAnswer[],2)</f>
        <v>0.25</v>
      </c>
      <c r="G85" s="96">
        <f>ROUND((1-RevenueTableAnswer[[#This Row],[Discount on Total Revenue]])*RevenueTableAnswer[[#This Row],[Total Revenue]],2)</f>
        <v>593.33000000000004</v>
      </c>
    </row>
    <row r="86" spans="1:7" x14ac:dyDescent="0.3">
      <c r="A86" s="101">
        <v>43045</v>
      </c>
      <c r="B86" s="96" t="s">
        <v>13</v>
      </c>
      <c r="C86" s="96">
        <v>152</v>
      </c>
      <c r="D86" s="59">
        <v>14.95</v>
      </c>
      <c r="E86" s="59">
        <v>2272.4</v>
      </c>
      <c r="F86" s="96">
        <f>VLOOKUP(RevenueTableAnswer[[#This Row],[Units Sold]],DiscountTableAnswer[],2)</f>
        <v>0.5</v>
      </c>
      <c r="G86" s="96">
        <f>ROUND((1-RevenueTableAnswer[[#This Row],[Discount on Total Revenue]])*RevenueTableAnswer[[#This Row],[Total Revenue]],2)</f>
        <v>1136.2</v>
      </c>
    </row>
    <row r="87" spans="1:7" x14ac:dyDescent="0.3">
      <c r="A87" s="101">
        <v>43040</v>
      </c>
      <c r="B87" s="96" t="s">
        <v>8</v>
      </c>
      <c r="C87" s="96">
        <v>41</v>
      </c>
      <c r="D87" s="59">
        <v>21.95</v>
      </c>
      <c r="E87" s="59">
        <v>899.94999999999993</v>
      </c>
      <c r="F87" s="96">
        <f>VLOOKUP(RevenueTableAnswer[[#This Row],[Units Sold]],DiscountTableAnswer[],2)</f>
        <v>0.25</v>
      </c>
      <c r="G87" s="96">
        <f>ROUND((1-RevenueTableAnswer[[#This Row],[Discount on Total Revenue]])*RevenueTableAnswer[[#This Row],[Total Revenue]],2)</f>
        <v>674.96</v>
      </c>
    </row>
    <row r="88" spans="1:7" x14ac:dyDescent="0.3">
      <c r="A88" s="101">
        <v>43045</v>
      </c>
      <c r="B88" s="96" t="s">
        <v>13</v>
      </c>
      <c r="C88" s="96">
        <v>11</v>
      </c>
      <c r="D88" s="59">
        <v>14.95</v>
      </c>
      <c r="E88" s="59">
        <v>164.45</v>
      </c>
      <c r="F88" s="96">
        <f>VLOOKUP(RevenueTableAnswer[[#This Row],[Units Sold]],DiscountTableAnswer[],2)</f>
        <v>0</v>
      </c>
      <c r="G88" s="96">
        <f>ROUND((1-RevenueTableAnswer[[#This Row],[Discount on Total Revenue]])*RevenueTableAnswer[[#This Row],[Total Revenue]],2)</f>
        <v>164.45</v>
      </c>
    </row>
    <row r="89" spans="1:7" x14ac:dyDescent="0.3">
      <c r="A89" s="101">
        <v>43047</v>
      </c>
      <c r="B89" s="96" t="s">
        <v>13</v>
      </c>
      <c r="C89" s="96">
        <v>148</v>
      </c>
      <c r="D89" s="59">
        <v>14.95</v>
      </c>
      <c r="E89" s="59">
        <v>2212.6</v>
      </c>
      <c r="F89" s="96">
        <f>VLOOKUP(RevenueTableAnswer[[#This Row],[Units Sold]],DiscountTableAnswer[],2)</f>
        <v>0.5</v>
      </c>
      <c r="G89" s="96">
        <f>ROUND((1-RevenueTableAnswer[[#This Row],[Discount on Total Revenue]])*RevenueTableAnswer[[#This Row],[Total Revenue]],2)</f>
        <v>1106.3</v>
      </c>
    </row>
    <row r="90" spans="1:7" x14ac:dyDescent="0.3">
      <c r="A90" s="101">
        <v>43044</v>
      </c>
      <c r="B90" s="96" t="s">
        <v>13</v>
      </c>
      <c r="C90" s="96">
        <v>154</v>
      </c>
      <c r="D90" s="59">
        <v>14.95</v>
      </c>
      <c r="E90" s="59">
        <v>2302.2999999999997</v>
      </c>
      <c r="F90" s="96">
        <f>VLOOKUP(RevenueTableAnswer[[#This Row],[Units Sold]],DiscountTableAnswer[],2)</f>
        <v>0.5</v>
      </c>
      <c r="G90" s="96">
        <f>ROUND((1-RevenueTableAnswer[[#This Row],[Discount on Total Revenue]])*RevenueTableAnswer[[#This Row],[Total Revenue]],2)</f>
        <v>1151.1500000000001</v>
      </c>
    </row>
    <row r="91" spans="1:7" x14ac:dyDescent="0.3">
      <c r="A91" s="101">
        <v>43041</v>
      </c>
      <c r="B91" s="96" t="s">
        <v>8</v>
      </c>
      <c r="C91" s="96">
        <v>115</v>
      </c>
      <c r="D91" s="59">
        <v>21.95</v>
      </c>
      <c r="E91" s="59">
        <v>2524.25</v>
      </c>
      <c r="F91" s="96">
        <f>VLOOKUP(RevenueTableAnswer[[#This Row],[Units Sold]],DiscountTableAnswer[],2)</f>
        <v>0.4375</v>
      </c>
      <c r="G91" s="96">
        <f>ROUND((1-RevenueTableAnswer[[#This Row],[Discount on Total Revenue]])*RevenueTableAnswer[[#This Row],[Total Revenue]],2)</f>
        <v>1419.89</v>
      </c>
    </row>
    <row r="92" spans="1:7" x14ac:dyDescent="0.3">
      <c r="A92" s="101">
        <v>43046</v>
      </c>
      <c r="B92" s="96" t="s">
        <v>7</v>
      </c>
      <c r="C92" s="96">
        <v>122</v>
      </c>
      <c r="D92" s="59">
        <v>43.95</v>
      </c>
      <c r="E92" s="59">
        <v>5361.9000000000005</v>
      </c>
      <c r="F92" s="96">
        <f>VLOOKUP(RevenueTableAnswer[[#This Row],[Units Sold]],DiscountTableAnswer[],2)</f>
        <v>0.4375</v>
      </c>
      <c r="G92" s="96">
        <f>ROUND((1-RevenueTableAnswer[[#This Row],[Discount on Total Revenue]])*RevenueTableAnswer[[#This Row],[Total Revenue]],2)</f>
        <v>3016.07</v>
      </c>
    </row>
    <row r="93" spans="1:7" x14ac:dyDescent="0.3">
      <c r="A93" s="101">
        <v>43047</v>
      </c>
      <c r="B93" s="96" t="s">
        <v>13</v>
      </c>
      <c r="C93" s="96">
        <v>3</v>
      </c>
      <c r="D93" s="59">
        <v>14.95</v>
      </c>
      <c r="E93" s="59">
        <v>44.849999999999994</v>
      </c>
      <c r="F93" s="96">
        <f>VLOOKUP(RevenueTableAnswer[[#This Row],[Units Sold]],DiscountTableAnswer[],2)</f>
        <v>0</v>
      </c>
      <c r="G93" s="96">
        <f>ROUND((1-RevenueTableAnswer[[#This Row],[Discount on Total Revenue]])*RevenueTableAnswer[[#This Row],[Total Revenue]],2)</f>
        <v>44.85</v>
      </c>
    </row>
    <row r="94" spans="1:7" x14ac:dyDescent="0.3">
      <c r="A94" s="101">
        <v>43046</v>
      </c>
      <c r="B94" s="96" t="s">
        <v>7</v>
      </c>
      <c r="C94" s="96">
        <v>26</v>
      </c>
      <c r="D94" s="59">
        <v>43.95</v>
      </c>
      <c r="E94" s="59">
        <v>1142.7</v>
      </c>
      <c r="F94" s="96">
        <f>VLOOKUP(RevenueTableAnswer[[#This Row],[Units Sold]],DiscountTableAnswer[],2)</f>
        <v>0.25</v>
      </c>
      <c r="G94" s="96">
        <f>ROUND((1-RevenueTableAnswer[[#This Row],[Discount on Total Revenue]])*RevenueTableAnswer[[#This Row],[Total Revenue]],2)</f>
        <v>857.03</v>
      </c>
    </row>
    <row r="95" spans="1:7" x14ac:dyDescent="0.3">
      <c r="A95" s="101">
        <v>43043</v>
      </c>
      <c r="B95" s="96" t="s">
        <v>5</v>
      </c>
      <c r="C95" s="96">
        <v>162</v>
      </c>
      <c r="D95" s="59">
        <v>22.95</v>
      </c>
      <c r="E95" s="59">
        <v>3717.9</v>
      </c>
      <c r="F95" s="96">
        <f>VLOOKUP(RevenueTableAnswer[[#This Row],[Units Sold]],DiscountTableAnswer[],2)</f>
        <v>0.5</v>
      </c>
      <c r="G95" s="96">
        <f>ROUND((1-RevenueTableAnswer[[#This Row],[Discount on Total Revenue]])*RevenueTableAnswer[[#This Row],[Total Revenue]],2)</f>
        <v>1858.95</v>
      </c>
    </row>
    <row r="96" spans="1:7" x14ac:dyDescent="0.3">
      <c r="A96" s="101">
        <v>43046</v>
      </c>
      <c r="B96" s="96" t="s">
        <v>7</v>
      </c>
      <c r="C96" s="96">
        <v>21</v>
      </c>
      <c r="D96" s="59">
        <v>43.95</v>
      </c>
      <c r="E96" s="59">
        <v>922.95</v>
      </c>
      <c r="F96" s="96">
        <f>VLOOKUP(RevenueTableAnswer[[#This Row],[Units Sold]],DiscountTableAnswer[],2)</f>
        <v>0.25</v>
      </c>
      <c r="G96" s="96">
        <f>ROUND((1-RevenueTableAnswer[[#This Row],[Discount on Total Revenue]])*RevenueTableAnswer[[#This Row],[Total Revenue]],2)</f>
        <v>692.21</v>
      </c>
    </row>
    <row r="97" spans="1:7" x14ac:dyDescent="0.3">
      <c r="A97" s="101">
        <v>43042</v>
      </c>
      <c r="B97" s="96" t="s">
        <v>7</v>
      </c>
      <c r="C97" s="96">
        <v>42</v>
      </c>
      <c r="D97" s="59">
        <v>43.95</v>
      </c>
      <c r="E97" s="59">
        <v>1845.9</v>
      </c>
      <c r="F97" s="96">
        <f>VLOOKUP(RevenueTableAnswer[[#This Row],[Units Sold]],DiscountTableAnswer[],2)</f>
        <v>0.25</v>
      </c>
      <c r="G97" s="96">
        <f>ROUND((1-RevenueTableAnswer[[#This Row],[Discount on Total Revenue]])*RevenueTableAnswer[[#This Row],[Total Revenue]],2)</f>
        <v>1384.43</v>
      </c>
    </row>
    <row r="98" spans="1:7" x14ac:dyDescent="0.3">
      <c r="A98" s="101">
        <v>43044</v>
      </c>
      <c r="B98" s="96" t="s">
        <v>5</v>
      </c>
      <c r="C98" s="96">
        <v>82</v>
      </c>
      <c r="D98" s="59">
        <v>22.95</v>
      </c>
      <c r="E98" s="59">
        <v>1881.8999999999999</v>
      </c>
      <c r="F98" s="96">
        <f>VLOOKUP(RevenueTableAnswer[[#This Row],[Units Sold]],DiscountTableAnswer[],2)</f>
        <v>0.375</v>
      </c>
      <c r="G98" s="96">
        <f>ROUND((1-RevenueTableAnswer[[#This Row],[Discount on Total Revenue]])*RevenueTableAnswer[[#This Row],[Total Revenue]],2)</f>
        <v>1176.19</v>
      </c>
    </row>
    <row r="99" spans="1:7" x14ac:dyDescent="0.3">
      <c r="A99" s="101">
        <v>43046</v>
      </c>
      <c r="B99" s="96" t="s">
        <v>13</v>
      </c>
      <c r="C99" s="96">
        <v>78</v>
      </c>
      <c r="D99" s="59">
        <v>14.95</v>
      </c>
      <c r="E99" s="59">
        <v>1166.0999999999999</v>
      </c>
      <c r="F99" s="96">
        <f>VLOOKUP(RevenueTableAnswer[[#This Row],[Units Sold]],DiscountTableAnswer[],2)</f>
        <v>0.375</v>
      </c>
      <c r="G99" s="96">
        <f>ROUND((1-RevenueTableAnswer[[#This Row],[Discount on Total Revenue]])*RevenueTableAnswer[[#This Row],[Total Revenue]],2)</f>
        <v>728.81</v>
      </c>
    </row>
    <row r="100" spans="1:7" x14ac:dyDescent="0.3">
      <c r="A100" s="101">
        <v>43047</v>
      </c>
      <c r="B100" s="96" t="s">
        <v>8</v>
      </c>
      <c r="C100" s="96">
        <v>127</v>
      </c>
      <c r="D100" s="59">
        <v>21.95</v>
      </c>
      <c r="E100" s="59">
        <v>2787.65</v>
      </c>
      <c r="F100" s="96">
        <f>VLOOKUP(RevenueTableAnswer[[#This Row],[Units Sold]],DiscountTableAnswer[],2)</f>
        <v>0.4375</v>
      </c>
      <c r="G100" s="96">
        <f>ROUND((1-RevenueTableAnswer[[#This Row],[Discount on Total Revenue]])*RevenueTableAnswer[[#This Row],[Total Revenue]],2)</f>
        <v>1568.05</v>
      </c>
    </row>
    <row r="101" spans="1:7" x14ac:dyDescent="0.3">
      <c r="A101" s="101">
        <v>43040</v>
      </c>
      <c r="B101" s="96" t="s">
        <v>7</v>
      </c>
      <c r="C101" s="96">
        <v>64</v>
      </c>
      <c r="D101" s="59">
        <v>43.95</v>
      </c>
      <c r="E101" s="59">
        <v>2812.8</v>
      </c>
      <c r="F101" s="96">
        <f>VLOOKUP(RevenueTableAnswer[[#This Row],[Units Sold]],DiscountTableAnswer[],2)</f>
        <v>0.375</v>
      </c>
      <c r="G101" s="96">
        <f>ROUND((1-RevenueTableAnswer[[#This Row],[Discount on Total Revenue]])*RevenueTableAnswer[[#This Row],[Total Revenue]],2)</f>
        <v>1758</v>
      </c>
    </row>
    <row r="102" spans="1:7" x14ac:dyDescent="0.3">
      <c r="A102" s="101">
        <v>43044</v>
      </c>
      <c r="B102" s="96" t="s">
        <v>7</v>
      </c>
      <c r="C102" s="96">
        <v>152</v>
      </c>
      <c r="D102" s="59">
        <v>43.95</v>
      </c>
      <c r="E102" s="59">
        <v>6680.4000000000005</v>
      </c>
      <c r="F102" s="96">
        <f>VLOOKUP(RevenueTableAnswer[[#This Row],[Units Sold]],DiscountTableAnswer[],2)</f>
        <v>0.5</v>
      </c>
      <c r="G102" s="96">
        <f>ROUND((1-RevenueTableAnswer[[#This Row],[Discount on Total Revenue]])*RevenueTableAnswer[[#This Row],[Total Revenue]],2)</f>
        <v>3340.2</v>
      </c>
    </row>
    <row r="103" spans="1:7" x14ac:dyDescent="0.3">
      <c r="A103" s="101">
        <v>43042</v>
      </c>
      <c r="B103" s="96" t="s">
        <v>13</v>
      </c>
      <c r="C103" s="96">
        <v>53</v>
      </c>
      <c r="D103" s="59">
        <v>14.95</v>
      </c>
      <c r="E103" s="59">
        <v>792.34999999999991</v>
      </c>
      <c r="F103" s="96">
        <f>VLOOKUP(RevenueTableAnswer[[#This Row],[Units Sold]],DiscountTableAnswer[],2)</f>
        <v>0.375</v>
      </c>
      <c r="G103" s="96">
        <f>ROUND((1-RevenueTableAnswer[[#This Row],[Discount on Total Revenue]])*RevenueTableAnswer[[#This Row],[Total Revenue]],2)</f>
        <v>495.22</v>
      </c>
    </row>
    <row r="104" spans="1:7" x14ac:dyDescent="0.3">
      <c r="A104" s="101">
        <v>43044</v>
      </c>
      <c r="B104" s="96" t="s">
        <v>7</v>
      </c>
      <c r="C104" s="96">
        <v>11</v>
      </c>
      <c r="D104" s="59">
        <v>43.95</v>
      </c>
      <c r="E104" s="59">
        <v>483.45000000000005</v>
      </c>
      <c r="F104" s="96">
        <f>VLOOKUP(RevenueTableAnswer[[#This Row],[Units Sold]],DiscountTableAnswer[],2)</f>
        <v>0</v>
      </c>
      <c r="G104" s="96">
        <f>ROUND((1-RevenueTableAnswer[[#This Row],[Discount on Total Revenue]])*RevenueTableAnswer[[#This Row],[Total Revenue]],2)</f>
        <v>483.45</v>
      </c>
    </row>
    <row r="105" spans="1:7" x14ac:dyDescent="0.3">
      <c r="A105" s="101">
        <v>43043</v>
      </c>
      <c r="B105" s="96" t="s">
        <v>5</v>
      </c>
      <c r="C105" s="96">
        <v>170</v>
      </c>
      <c r="D105" s="59">
        <v>22.95</v>
      </c>
      <c r="E105" s="59">
        <v>3901.5</v>
      </c>
      <c r="F105" s="96">
        <f>VLOOKUP(RevenueTableAnswer[[#This Row],[Units Sold]],DiscountTableAnswer[],2)</f>
        <v>0.55000000000000004</v>
      </c>
      <c r="G105" s="96">
        <f>ROUND((1-RevenueTableAnswer[[#This Row],[Discount on Total Revenue]])*RevenueTableAnswer[[#This Row],[Total Revenue]],2)</f>
        <v>1755.68</v>
      </c>
    </row>
    <row r="106" spans="1:7" x14ac:dyDescent="0.3">
      <c r="A106" s="101">
        <v>43041</v>
      </c>
      <c r="B106" s="96" t="s">
        <v>13</v>
      </c>
      <c r="C106" s="96">
        <v>170</v>
      </c>
      <c r="D106" s="59">
        <v>14.95</v>
      </c>
      <c r="E106" s="59">
        <v>2541.5</v>
      </c>
      <c r="F106" s="96">
        <f>VLOOKUP(RevenueTableAnswer[[#This Row],[Units Sold]],DiscountTableAnswer[],2)</f>
        <v>0.55000000000000004</v>
      </c>
      <c r="G106" s="96">
        <f>ROUND((1-RevenueTableAnswer[[#This Row],[Discount on Total Revenue]])*RevenueTableAnswer[[#This Row],[Total Revenue]],2)</f>
        <v>1143.68</v>
      </c>
    </row>
    <row r="107" spans="1:7" x14ac:dyDescent="0.3">
      <c r="A107" s="101">
        <v>43047</v>
      </c>
      <c r="B107" s="96" t="s">
        <v>8</v>
      </c>
      <c r="C107" s="96">
        <v>31</v>
      </c>
      <c r="D107" s="59">
        <v>21.95</v>
      </c>
      <c r="E107" s="59">
        <v>680.44999999999993</v>
      </c>
      <c r="F107" s="96">
        <f>VLOOKUP(RevenueTableAnswer[[#This Row],[Units Sold]],DiscountTableAnswer[],2)</f>
        <v>0.25</v>
      </c>
      <c r="G107" s="96">
        <f>ROUND((1-RevenueTableAnswer[[#This Row],[Discount on Total Revenue]])*RevenueTableAnswer[[#This Row],[Total Revenue]],2)</f>
        <v>510.34</v>
      </c>
    </row>
    <row r="108" spans="1:7" x14ac:dyDescent="0.3">
      <c r="A108" s="101">
        <v>43041</v>
      </c>
      <c r="B108" s="96" t="s">
        <v>7</v>
      </c>
      <c r="C108" s="96">
        <v>7</v>
      </c>
      <c r="D108" s="59">
        <v>43.95</v>
      </c>
      <c r="E108" s="59">
        <v>307.65000000000003</v>
      </c>
      <c r="F108" s="96">
        <f>VLOOKUP(RevenueTableAnswer[[#This Row],[Units Sold]],DiscountTableAnswer[],2)</f>
        <v>0</v>
      </c>
      <c r="G108" s="96">
        <f>ROUND((1-RevenueTableAnswer[[#This Row],[Discount on Total Revenue]])*RevenueTableAnswer[[#This Row],[Total Revenue]],2)</f>
        <v>307.64999999999998</v>
      </c>
    </row>
    <row r="109" spans="1:7" x14ac:dyDescent="0.3">
      <c r="A109" s="101">
        <v>43046</v>
      </c>
      <c r="B109" s="96" t="s">
        <v>7</v>
      </c>
      <c r="C109" s="96">
        <v>175</v>
      </c>
      <c r="D109" s="59">
        <v>43.95</v>
      </c>
      <c r="E109" s="59">
        <v>7691.2500000000009</v>
      </c>
      <c r="F109" s="96">
        <f>VLOOKUP(RevenueTableAnswer[[#This Row],[Units Sold]],DiscountTableAnswer[],2)</f>
        <v>0.55000000000000004</v>
      </c>
      <c r="G109" s="96">
        <f>ROUND((1-RevenueTableAnswer[[#This Row],[Discount on Total Revenue]])*RevenueTableAnswer[[#This Row],[Total Revenue]],2)</f>
        <v>3461.06</v>
      </c>
    </row>
    <row r="110" spans="1:7" x14ac:dyDescent="0.3">
      <c r="A110" s="101">
        <v>43047</v>
      </c>
      <c r="B110" s="96" t="s">
        <v>8</v>
      </c>
      <c r="C110" s="96">
        <v>107</v>
      </c>
      <c r="D110" s="59">
        <v>21.95</v>
      </c>
      <c r="E110" s="59">
        <v>2348.65</v>
      </c>
      <c r="F110" s="96">
        <f>VLOOKUP(RevenueTableAnswer[[#This Row],[Units Sold]],DiscountTableAnswer[],2)</f>
        <v>0.4375</v>
      </c>
      <c r="G110" s="96">
        <f>ROUND((1-RevenueTableAnswer[[#This Row],[Discount on Total Revenue]])*RevenueTableAnswer[[#This Row],[Total Revenue]],2)</f>
        <v>1321.12</v>
      </c>
    </row>
    <row r="111" spans="1:7" x14ac:dyDescent="0.3">
      <c r="A111" s="101">
        <v>43046</v>
      </c>
      <c r="B111" s="96" t="s">
        <v>13</v>
      </c>
      <c r="C111" s="96">
        <v>123</v>
      </c>
      <c r="D111" s="59">
        <v>14.95</v>
      </c>
      <c r="E111" s="59">
        <v>1838.85</v>
      </c>
      <c r="F111" s="96">
        <f>VLOOKUP(RevenueTableAnswer[[#This Row],[Units Sold]],DiscountTableAnswer[],2)</f>
        <v>0.4375</v>
      </c>
      <c r="G111" s="96">
        <f>ROUND((1-RevenueTableAnswer[[#This Row],[Discount on Total Revenue]])*RevenueTableAnswer[[#This Row],[Total Revenue]],2)</f>
        <v>1034.3499999999999</v>
      </c>
    </row>
    <row r="112" spans="1:7" x14ac:dyDescent="0.3">
      <c r="A112" s="101">
        <v>43045</v>
      </c>
      <c r="B112" s="96" t="s">
        <v>13</v>
      </c>
      <c r="C112" s="96">
        <v>21</v>
      </c>
      <c r="D112" s="59">
        <v>14.95</v>
      </c>
      <c r="E112" s="59">
        <v>313.95</v>
      </c>
      <c r="F112" s="96">
        <f>VLOOKUP(RevenueTableAnswer[[#This Row],[Units Sold]],DiscountTableAnswer[],2)</f>
        <v>0.25</v>
      </c>
      <c r="G112" s="96">
        <f>ROUND((1-RevenueTableAnswer[[#This Row],[Discount on Total Revenue]])*RevenueTableAnswer[[#This Row],[Total Revenue]],2)</f>
        <v>235.46</v>
      </c>
    </row>
    <row r="113" spans="1:7" x14ac:dyDescent="0.3">
      <c r="A113" s="101">
        <v>43040</v>
      </c>
      <c r="B113" s="96" t="s">
        <v>8</v>
      </c>
      <c r="C113" s="96">
        <v>8</v>
      </c>
      <c r="D113" s="59">
        <v>21.95</v>
      </c>
      <c r="E113" s="59">
        <v>175.6</v>
      </c>
      <c r="F113" s="96">
        <f>VLOOKUP(RevenueTableAnswer[[#This Row],[Units Sold]],DiscountTableAnswer[],2)</f>
        <v>0</v>
      </c>
      <c r="G113" s="96">
        <f>ROUND((1-RevenueTableAnswer[[#This Row],[Discount on Total Revenue]])*RevenueTableAnswer[[#This Row],[Total Revenue]],2)</f>
        <v>175.6</v>
      </c>
    </row>
    <row r="114" spans="1:7" x14ac:dyDescent="0.3">
      <c r="A114" s="101">
        <v>43042</v>
      </c>
      <c r="B114" s="96" t="s">
        <v>5</v>
      </c>
      <c r="C114" s="96">
        <v>115</v>
      </c>
      <c r="D114" s="59">
        <v>22.95</v>
      </c>
      <c r="E114" s="59">
        <v>2639.25</v>
      </c>
      <c r="F114" s="96">
        <f>VLOOKUP(RevenueTableAnswer[[#This Row],[Units Sold]],DiscountTableAnswer[],2)</f>
        <v>0.4375</v>
      </c>
      <c r="G114" s="96">
        <f>ROUND((1-RevenueTableAnswer[[#This Row],[Discount on Total Revenue]])*RevenueTableAnswer[[#This Row],[Total Revenue]],2)</f>
        <v>1484.58</v>
      </c>
    </row>
    <row r="115" spans="1:7" x14ac:dyDescent="0.3">
      <c r="A115" s="101">
        <v>43043</v>
      </c>
      <c r="B115" s="96" t="s">
        <v>13</v>
      </c>
      <c r="C115" s="96">
        <v>50</v>
      </c>
      <c r="D115" s="59">
        <v>14.95</v>
      </c>
      <c r="E115" s="59">
        <v>747.5</v>
      </c>
      <c r="F115" s="96">
        <f>VLOOKUP(RevenueTableAnswer[[#This Row],[Units Sold]],DiscountTableAnswer[],2)</f>
        <v>0.375</v>
      </c>
      <c r="G115" s="96">
        <f>ROUND((1-RevenueTableAnswer[[#This Row],[Discount on Total Revenue]])*RevenueTableAnswer[[#This Row],[Total Revenue]],2)</f>
        <v>467.19</v>
      </c>
    </row>
    <row r="116" spans="1:7" x14ac:dyDescent="0.3">
      <c r="A116" s="101">
        <v>43047</v>
      </c>
      <c r="B116" s="96" t="s">
        <v>13</v>
      </c>
      <c r="C116" s="96">
        <v>121</v>
      </c>
      <c r="D116" s="59">
        <v>14.95</v>
      </c>
      <c r="E116" s="59">
        <v>1808.9499999999998</v>
      </c>
      <c r="F116" s="96">
        <f>VLOOKUP(RevenueTableAnswer[[#This Row],[Units Sold]],DiscountTableAnswer[],2)</f>
        <v>0.4375</v>
      </c>
      <c r="G116" s="96">
        <f>ROUND((1-RevenueTableAnswer[[#This Row],[Discount on Total Revenue]])*RevenueTableAnswer[[#This Row],[Total Revenue]],2)</f>
        <v>1017.53</v>
      </c>
    </row>
    <row r="117" spans="1:7" x14ac:dyDescent="0.3">
      <c r="A117" s="101">
        <v>43041</v>
      </c>
      <c r="B117" s="96" t="s">
        <v>13</v>
      </c>
      <c r="C117" s="96">
        <v>35</v>
      </c>
      <c r="D117" s="59">
        <v>14.95</v>
      </c>
      <c r="E117" s="59">
        <v>523.25</v>
      </c>
      <c r="F117" s="96">
        <f>VLOOKUP(RevenueTableAnswer[[#This Row],[Units Sold]],DiscountTableAnswer[],2)</f>
        <v>0.25</v>
      </c>
      <c r="G117" s="96">
        <f>ROUND((1-RevenueTableAnswer[[#This Row],[Discount on Total Revenue]])*RevenueTableAnswer[[#This Row],[Total Revenue]],2)</f>
        <v>392.44</v>
      </c>
    </row>
    <row r="118" spans="1:7" x14ac:dyDescent="0.3">
      <c r="A118" s="101">
        <v>43044</v>
      </c>
      <c r="B118" s="96" t="s">
        <v>5</v>
      </c>
      <c r="C118" s="96">
        <v>106</v>
      </c>
      <c r="D118" s="59">
        <v>22.95</v>
      </c>
      <c r="E118" s="59">
        <v>2432.6999999999998</v>
      </c>
      <c r="F118" s="96">
        <f>VLOOKUP(RevenueTableAnswer[[#This Row],[Units Sold]],DiscountTableAnswer[],2)</f>
        <v>0.4375</v>
      </c>
      <c r="G118" s="96">
        <f>ROUND((1-RevenueTableAnswer[[#This Row],[Discount on Total Revenue]])*RevenueTableAnswer[[#This Row],[Total Revenue]],2)</f>
        <v>1368.39</v>
      </c>
    </row>
    <row r="119" spans="1:7" x14ac:dyDescent="0.3">
      <c r="A119" s="101">
        <v>43041</v>
      </c>
      <c r="B119" s="96" t="s">
        <v>13</v>
      </c>
      <c r="C119" s="96">
        <v>125</v>
      </c>
      <c r="D119" s="59">
        <v>14.95</v>
      </c>
      <c r="E119" s="59">
        <v>1868.75</v>
      </c>
      <c r="F119" s="96">
        <f>VLOOKUP(RevenueTableAnswer[[#This Row],[Units Sold]],DiscountTableAnswer[],2)</f>
        <v>0.4375</v>
      </c>
      <c r="G119" s="96">
        <f>ROUND((1-RevenueTableAnswer[[#This Row],[Discount on Total Revenue]])*RevenueTableAnswer[[#This Row],[Total Revenue]],2)</f>
        <v>1051.17</v>
      </c>
    </row>
    <row r="120" spans="1:7" x14ac:dyDescent="0.3">
      <c r="A120" s="101">
        <v>43040</v>
      </c>
      <c r="B120" s="96" t="s">
        <v>13</v>
      </c>
      <c r="C120" s="96">
        <v>182</v>
      </c>
      <c r="D120" s="59">
        <v>14.95</v>
      </c>
      <c r="E120" s="59">
        <v>2720.9</v>
      </c>
      <c r="F120" s="96">
        <f>VLOOKUP(RevenueTableAnswer[[#This Row],[Units Sold]],DiscountTableAnswer[],2)</f>
        <v>0.55000000000000004</v>
      </c>
      <c r="G120" s="96">
        <f>ROUND((1-RevenueTableAnswer[[#This Row],[Discount on Total Revenue]])*RevenueTableAnswer[[#This Row],[Total Revenue]],2)</f>
        <v>1224.4100000000001</v>
      </c>
    </row>
    <row r="121" spans="1:7" x14ac:dyDescent="0.3">
      <c r="A121" s="101">
        <v>43046</v>
      </c>
      <c r="B121" s="96" t="s">
        <v>7</v>
      </c>
      <c r="C121" s="96">
        <v>98</v>
      </c>
      <c r="D121" s="59">
        <v>43.95</v>
      </c>
      <c r="E121" s="59">
        <v>4307.1000000000004</v>
      </c>
      <c r="F121" s="96">
        <f>VLOOKUP(RevenueTableAnswer[[#This Row],[Units Sold]],DiscountTableAnswer[],2)</f>
        <v>0.4375</v>
      </c>
      <c r="G121" s="96">
        <f>ROUND((1-RevenueTableAnswer[[#This Row],[Discount on Total Revenue]])*RevenueTableAnswer[[#This Row],[Total Revenue]],2)</f>
        <v>2422.7399999999998</v>
      </c>
    </row>
    <row r="122" spans="1:7" x14ac:dyDescent="0.3">
      <c r="A122" s="101">
        <v>43042</v>
      </c>
      <c r="B122" s="96" t="s">
        <v>13</v>
      </c>
      <c r="C122" s="96">
        <v>80</v>
      </c>
      <c r="D122" s="59">
        <v>14.95</v>
      </c>
      <c r="E122" s="59">
        <v>1196</v>
      </c>
      <c r="F122" s="96">
        <f>VLOOKUP(RevenueTableAnswer[[#This Row],[Units Sold]],DiscountTableAnswer[],2)</f>
        <v>0.375</v>
      </c>
      <c r="G122" s="96">
        <f>ROUND((1-RevenueTableAnswer[[#This Row],[Discount on Total Revenue]])*RevenueTableAnswer[[#This Row],[Total Revenue]],2)</f>
        <v>747.5</v>
      </c>
    </row>
    <row r="123" spans="1:7" x14ac:dyDescent="0.3">
      <c r="A123" s="101">
        <v>43044</v>
      </c>
      <c r="B123" s="96" t="s">
        <v>8</v>
      </c>
      <c r="C123" s="96">
        <v>18</v>
      </c>
      <c r="D123" s="59">
        <v>21.95</v>
      </c>
      <c r="E123" s="59">
        <v>395.09999999999997</v>
      </c>
      <c r="F123" s="96">
        <f>VLOOKUP(RevenueTableAnswer[[#This Row],[Units Sold]],DiscountTableAnswer[],2)</f>
        <v>0.25</v>
      </c>
      <c r="G123" s="96">
        <f>ROUND((1-RevenueTableAnswer[[#This Row],[Discount on Total Revenue]])*RevenueTableAnswer[[#This Row],[Total Revenue]],2)</f>
        <v>296.33</v>
      </c>
    </row>
    <row r="124" spans="1:7" x14ac:dyDescent="0.3">
      <c r="A124" s="101">
        <v>43043</v>
      </c>
      <c r="B124" s="96" t="s">
        <v>13</v>
      </c>
      <c r="C124" s="96">
        <v>80</v>
      </c>
      <c r="D124" s="59">
        <v>14.95</v>
      </c>
      <c r="E124" s="59">
        <v>1196</v>
      </c>
      <c r="F124" s="96">
        <f>VLOOKUP(RevenueTableAnswer[[#This Row],[Units Sold]],DiscountTableAnswer[],2)</f>
        <v>0.375</v>
      </c>
      <c r="G124" s="96">
        <f>ROUND((1-RevenueTableAnswer[[#This Row],[Discount on Total Revenue]])*RevenueTableAnswer[[#This Row],[Total Revenue]],2)</f>
        <v>747.5</v>
      </c>
    </row>
    <row r="125" spans="1:7" x14ac:dyDescent="0.3">
      <c r="A125" s="101">
        <v>43041</v>
      </c>
      <c r="B125" s="96" t="s">
        <v>5</v>
      </c>
      <c r="C125" s="96">
        <v>52</v>
      </c>
      <c r="D125" s="59">
        <v>22.95</v>
      </c>
      <c r="E125" s="59">
        <v>1193.3999999999999</v>
      </c>
      <c r="F125" s="96">
        <f>VLOOKUP(RevenueTableAnswer[[#This Row],[Units Sold]],DiscountTableAnswer[],2)</f>
        <v>0.375</v>
      </c>
      <c r="G125" s="96">
        <f>ROUND((1-RevenueTableAnswer[[#This Row],[Discount on Total Revenue]])*RevenueTableAnswer[[#This Row],[Total Revenue]],2)</f>
        <v>745.88</v>
      </c>
    </row>
    <row r="126" spans="1:7" x14ac:dyDescent="0.3">
      <c r="A126" s="101">
        <v>43042</v>
      </c>
      <c r="B126" s="96" t="s">
        <v>7</v>
      </c>
      <c r="C126" s="96">
        <v>52</v>
      </c>
      <c r="D126" s="59">
        <v>43.95</v>
      </c>
      <c r="E126" s="59">
        <v>2285.4</v>
      </c>
      <c r="F126" s="96">
        <f>VLOOKUP(RevenueTableAnswer[[#This Row],[Units Sold]],DiscountTableAnswer[],2)</f>
        <v>0.375</v>
      </c>
      <c r="G126" s="96">
        <f>ROUND((1-RevenueTableAnswer[[#This Row],[Discount on Total Revenue]])*RevenueTableAnswer[[#This Row],[Total Revenue]],2)</f>
        <v>1428.38</v>
      </c>
    </row>
    <row r="127" spans="1:7" x14ac:dyDescent="0.3">
      <c r="A127" s="101">
        <v>43045</v>
      </c>
      <c r="B127" s="96" t="s">
        <v>5</v>
      </c>
      <c r="C127" s="96">
        <v>119</v>
      </c>
      <c r="D127" s="59">
        <v>22.95</v>
      </c>
      <c r="E127" s="59">
        <v>2731.0499999999997</v>
      </c>
      <c r="F127" s="96">
        <f>VLOOKUP(RevenueTableAnswer[[#This Row],[Units Sold]],DiscountTableAnswer[],2)</f>
        <v>0.4375</v>
      </c>
      <c r="G127" s="96">
        <f>ROUND((1-RevenueTableAnswer[[#This Row],[Discount on Total Revenue]])*RevenueTableAnswer[[#This Row],[Total Revenue]],2)</f>
        <v>1536.22</v>
      </c>
    </row>
    <row r="128" spans="1:7" x14ac:dyDescent="0.3">
      <c r="A128" s="101">
        <v>43047</v>
      </c>
      <c r="B128" s="96" t="s">
        <v>13</v>
      </c>
      <c r="C128" s="96">
        <v>129</v>
      </c>
      <c r="D128" s="59">
        <v>14.95</v>
      </c>
      <c r="E128" s="59">
        <v>1928.55</v>
      </c>
      <c r="F128" s="96">
        <f>VLOOKUP(RevenueTableAnswer[[#This Row],[Units Sold]],DiscountTableAnswer[],2)</f>
        <v>0.4375</v>
      </c>
      <c r="G128" s="96">
        <f>ROUND((1-RevenueTableAnswer[[#This Row],[Discount on Total Revenue]])*RevenueTableAnswer[[#This Row],[Total Revenue]],2)</f>
        <v>1084.81</v>
      </c>
    </row>
    <row r="129" spans="1:7" x14ac:dyDescent="0.3">
      <c r="A129" s="101">
        <v>43047</v>
      </c>
      <c r="B129" s="96" t="s">
        <v>13</v>
      </c>
      <c r="C129" s="96">
        <v>141</v>
      </c>
      <c r="D129" s="59">
        <v>14.95</v>
      </c>
      <c r="E129" s="59">
        <v>2107.9499999999998</v>
      </c>
      <c r="F129" s="96">
        <f>VLOOKUP(RevenueTableAnswer[[#This Row],[Units Sold]],DiscountTableAnswer[],2)</f>
        <v>0.4375</v>
      </c>
      <c r="G129" s="96">
        <f>ROUND((1-RevenueTableAnswer[[#This Row],[Discount on Total Revenue]])*RevenueTableAnswer[[#This Row],[Total Revenue]],2)</f>
        <v>1185.72</v>
      </c>
    </row>
    <row r="130" spans="1:7" x14ac:dyDescent="0.3">
      <c r="A130" s="101">
        <v>43047</v>
      </c>
      <c r="B130" s="96" t="s">
        <v>7</v>
      </c>
      <c r="C130" s="96">
        <v>95</v>
      </c>
      <c r="D130" s="59">
        <v>43.95</v>
      </c>
      <c r="E130" s="59">
        <v>4175.25</v>
      </c>
      <c r="F130" s="96">
        <f>VLOOKUP(RevenueTableAnswer[[#This Row],[Units Sold]],DiscountTableAnswer[],2)</f>
        <v>0.375</v>
      </c>
      <c r="G130" s="96">
        <f>ROUND((1-RevenueTableAnswer[[#This Row],[Discount on Total Revenue]])*RevenueTableAnswer[[#This Row],[Total Revenue]],2)</f>
        <v>2609.5300000000002</v>
      </c>
    </row>
    <row r="131" spans="1:7" x14ac:dyDescent="0.3">
      <c r="A131" s="101">
        <v>43041</v>
      </c>
      <c r="B131" s="96" t="s">
        <v>5</v>
      </c>
      <c r="C131" s="96">
        <v>112</v>
      </c>
      <c r="D131" s="59">
        <v>22.95</v>
      </c>
      <c r="E131" s="59">
        <v>2570.4</v>
      </c>
      <c r="F131" s="96">
        <f>VLOOKUP(RevenueTableAnswer[[#This Row],[Units Sold]],DiscountTableAnswer[],2)</f>
        <v>0.4375</v>
      </c>
      <c r="G131" s="96">
        <f>ROUND((1-RevenueTableAnswer[[#This Row],[Discount on Total Revenue]])*RevenueTableAnswer[[#This Row],[Total Revenue]],2)</f>
        <v>1445.85</v>
      </c>
    </row>
    <row r="132" spans="1:7" x14ac:dyDescent="0.3">
      <c r="A132" s="101">
        <v>43043</v>
      </c>
      <c r="B132" s="96" t="s">
        <v>7</v>
      </c>
      <c r="C132" s="96">
        <v>40</v>
      </c>
      <c r="D132" s="59">
        <v>43.95</v>
      </c>
      <c r="E132" s="59">
        <v>1758</v>
      </c>
      <c r="F132" s="96">
        <f>VLOOKUP(RevenueTableAnswer[[#This Row],[Units Sold]],DiscountTableAnswer[],2)</f>
        <v>0.25</v>
      </c>
      <c r="G132" s="96">
        <f>ROUND((1-RevenueTableAnswer[[#This Row],[Discount on Total Revenue]])*RevenueTableAnswer[[#This Row],[Total Revenue]],2)</f>
        <v>1318.5</v>
      </c>
    </row>
    <row r="133" spans="1:7" x14ac:dyDescent="0.3">
      <c r="A133" s="101">
        <v>43044</v>
      </c>
      <c r="B133" s="96" t="s">
        <v>7</v>
      </c>
      <c r="C133" s="96">
        <v>160</v>
      </c>
      <c r="D133" s="59">
        <v>43.95</v>
      </c>
      <c r="E133" s="59">
        <v>7032</v>
      </c>
      <c r="F133" s="96">
        <f>VLOOKUP(RevenueTableAnswer[[#This Row],[Units Sold]],DiscountTableAnswer[],2)</f>
        <v>0.5</v>
      </c>
      <c r="G133" s="96">
        <f>ROUND((1-RevenueTableAnswer[[#This Row],[Discount on Total Revenue]])*RevenueTableAnswer[[#This Row],[Total Revenue]],2)</f>
        <v>3516</v>
      </c>
    </row>
    <row r="134" spans="1:7" x14ac:dyDescent="0.3">
      <c r="A134" s="101">
        <v>43043</v>
      </c>
      <c r="B134" s="96" t="s">
        <v>13</v>
      </c>
      <c r="C134" s="96">
        <v>81</v>
      </c>
      <c r="D134" s="59">
        <v>14.95</v>
      </c>
      <c r="E134" s="59">
        <v>1210.95</v>
      </c>
      <c r="F134" s="96">
        <f>VLOOKUP(RevenueTableAnswer[[#This Row],[Units Sold]],DiscountTableAnswer[],2)</f>
        <v>0.375</v>
      </c>
      <c r="G134" s="96">
        <f>ROUND((1-RevenueTableAnswer[[#This Row],[Discount on Total Revenue]])*RevenueTableAnswer[[#This Row],[Total Revenue]],2)</f>
        <v>756.84</v>
      </c>
    </row>
    <row r="135" spans="1:7" x14ac:dyDescent="0.3">
      <c r="A135" s="101">
        <v>43044</v>
      </c>
      <c r="B135" s="96" t="s">
        <v>7</v>
      </c>
      <c r="C135" s="96">
        <v>157</v>
      </c>
      <c r="D135" s="59">
        <v>43.95</v>
      </c>
      <c r="E135" s="59">
        <v>6900.1500000000005</v>
      </c>
      <c r="F135" s="96">
        <f>VLOOKUP(RevenueTableAnswer[[#This Row],[Units Sold]],DiscountTableAnswer[],2)</f>
        <v>0.5</v>
      </c>
      <c r="G135" s="96">
        <f>ROUND((1-RevenueTableAnswer[[#This Row],[Discount on Total Revenue]])*RevenueTableAnswer[[#This Row],[Total Revenue]],2)</f>
        <v>3450.08</v>
      </c>
    </row>
    <row r="136" spans="1:7" x14ac:dyDescent="0.3">
      <c r="A136" s="101">
        <v>43046</v>
      </c>
      <c r="B136" s="96" t="s">
        <v>5</v>
      </c>
      <c r="C136" s="96">
        <v>12</v>
      </c>
      <c r="D136" s="59">
        <v>22.95</v>
      </c>
      <c r="E136" s="59">
        <v>275.39999999999998</v>
      </c>
      <c r="F136" s="96">
        <f>VLOOKUP(RevenueTableAnswer[[#This Row],[Units Sold]],DiscountTableAnswer[],2)</f>
        <v>0.25</v>
      </c>
      <c r="G136" s="96">
        <f>ROUND((1-RevenueTableAnswer[[#This Row],[Discount on Total Revenue]])*RevenueTableAnswer[[#This Row],[Total Revenue]],2)</f>
        <v>206.55</v>
      </c>
    </row>
    <row r="137" spans="1:7" x14ac:dyDescent="0.3">
      <c r="A137" s="101">
        <v>43040</v>
      </c>
      <c r="B137" s="96" t="s">
        <v>13</v>
      </c>
      <c r="C137" s="96">
        <v>117</v>
      </c>
      <c r="D137" s="59">
        <v>14.95</v>
      </c>
      <c r="E137" s="59">
        <v>1749.1499999999999</v>
      </c>
      <c r="F137" s="96">
        <f>VLOOKUP(RevenueTableAnswer[[#This Row],[Units Sold]],DiscountTableAnswer[],2)</f>
        <v>0.4375</v>
      </c>
      <c r="G137" s="96">
        <f>ROUND((1-RevenueTableAnswer[[#This Row],[Discount on Total Revenue]])*RevenueTableAnswer[[#This Row],[Total Revenue]],2)</f>
        <v>983.9</v>
      </c>
    </row>
    <row r="138" spans="1:7" x14ac:dyDescent="0.3">
      <c r="A138" s="101">
        <v>43043</v>
      </c>
      <c r="B138" s="96" t="s">
        <v>7</v>
      </c>
      <c r="C138" s="96">
        <v>118</v>
      </c>
      <c r="D138" s="59">
        <v>43.95</v>
      </c>
      <c r="E138" s="59">
        <v>5186.1000000000004</v>
      </c>
      <c r="F138" s="96">
        <f>VLOOKUP(RevenueTableAnswer[[#This Row],[Units Sold]],DiscountTableAnswer[],2)</f>
        <v>0.4375</v>
      </c>
      <c r="G138" s="96">
        <f>ROUND((1-RevenueTableAnswer[[#This Row],[Discount on Total Revenue]])*RevenueTableAnswer[[#This Row],[Total Revenue]],2)</f>
        <v>2917.18</v>
      </c>
    </row>
    <row r="139" spans="1:7" x14ac:dyDescent="0.3">
      <c r="A139" s="101">
        <v>43042</v>
      </c>
      <c r="B139" s="96" t="s">
        <v>5</v>
      </c>
      <c r="C139" s="96">
        <v>6</v>
      </c>
      <c r="D139" s="59">
        <v>22.95</v>
      </c>
      <c r="E139" s="59">
        <v>137.69999999999999</v>
      </c>
      <c r="F139" s="96">
        <f>VLOOKUP(RevenueTableAnswer[[#This Row],[Units Sold]],DiscountTableAnswer[],2)</f>
        <v>0</v>
      </c>
      <c r="G139" s="96">
        <f>ROUND((1-RevenueTableAnswer[[#This Row],[Discount on Total Revenue]])*RevenueTableAnswer[[#This Row],[Total Revenue]],2)</f>
        <v>137.69999999999999</v>
      </c>
    </row>
    <row r="140" spans="1:7" x14ac:dyDescent="0.3">
      <c r="A140" s="101">
        <v>43043</v>
      </c>
      <c r="B140" s="96" t="s">
        <v>13</v>
      </c>
      <c r="C140" s="96">
        <v>107</v>
      </c>
      <c r="D140" s="59">
        <v>14.95</v>
      </c>
      <c r="E140" s="59">
        <v>1599.6499999999999</v>
      </c>
      <c r="F140" s="96">
        <f>VLOOKUP(RevenueTableAnswer[[#This Row],[Units Sold]],DiscountTableAnswer[],2)</f>
        <v>0.4375</v>
      </c>
      <c r="G140" s="96">
        <f>ROUND((1-RevenueTableAnswer[[#This Row],[Discount on Total Revenue]])*RevenueTableAnswer[[#This Row],[Total Revenue]],2)</f>
        <v>899.8</v>
      </c>
    </row>
    <row r="141" spans="1:7" x14ac:dyDescent="0.3">
      <c r="A141" s="101">
        <v>43041</v>
      </c>
      <c r="B141" s="96" t="s">
        <v>8</v>
      </c>
      <c r="C141" s="96">
        <v>15</v>
      </c>
      <c r="D141" s="59">
        <v>21.95</v>
      </c>
      <c r="E141" s="59">
        <v>329.25</v>
      </c>
      <c r="F141" s="96">
        <f>VLOOKUP(RevenueTableAnswer[[#This Row],[Units Sold]],DiscountTableAnswer[],2)</f>
        <v>0.25</v>
      </c>
      <c r="G141" s="96">
        <f>ROUND((1-RevenueTableAnswer[[#This Row],[Discount on Total Revenue]])*RevenueTableAnswer[[#This Row],[Total Revenue]],2)</f>
        <v>246.94</v>
      </c>
    </row>
    <row r="142" spans="1:7" x14ac:dyDescent="0.3">
      <c r="A142" s="101">
        <v>43041</v>
      </c>
      <c r="B142" s="96" t="s">
        <v>8</v>
      </c>
      <c r="C142" s="96">
        <v>7</v>
      </c>
      <c r="D142" s="59">
        <v>21.95</v>
      </c>
      <c r="E142" s="59">
        <v>153.65</v>
      </c>
      <c r="F142" s="96">
        <f>VLOOKUP(RevenueTableAnswer[[#This Row],[Units Sold]],DiscountTableAnswer[],2)</f>
        <v>0</v>
      </c>
      <c r="G142" s="96">
        <f>ROUND((1-RevenueTableAnswer[[#This Row],[Discount on Total Revenue]])*RevenueTableAnswer[[#This Row],[Total Revenue]],2)</f>
        <v>153.65</v>
      </c>
    </row>
    <row r="143" spans="1:7" x14ac:dyDescent="0.3">
      <c r="A143" s="101">
        <v>43046</v>
      </c>
      <c r="B143" s="96" t="s">
        <v>5</v>
      </c>
      <c r="C143" s="96">
        <v>178</v>
      </c>
      <c r="D143" s="59">
        <v>22.95</v>
      </c>
      <c r="E143" s="59">
        <v>4085.1</v>
      </c>
      <c r="F143" s="96">
        <f>VLOOKUP(RevenueTableAnswer[[#This Row],[Units Sold]],DiscountTableAnswer[],2)</f>
        <v>0.55000000000000004</v>
      </c>
      <c r="G143" s="96">
        <f>ROUND((1-RevenueTableAnswer[[#This Row],[Discount on Total Revenue]])*RevenueTableAnswer[[#This Row],[Total Revenue]],2)</f>
        <v>1838.3</v>
      </c>
    </row>
    <row r="144" spans="1:7" x14ac:dyDescent="0.3">
      <c r="A144" s="101">
        <v>43042</v>
      </c>
      <c r="B144" s="96" t="s">
        <v>13</v>
      </c>
      <c r="C144" s="96">
        <v>159</v>
      </c>
      <c r="D144" s="59">
        <v>14.95</v>
      </c>
      <c r="E144" s="59">
        <v>2377.0499999999997</v>
      </c>
      <c r="F144" s="96">
        <f>VLOOKUP(RevenueTableAnswer[[#This Row],[Units Sold]],DiscountTableAnswer[],2)</f>
        <v>0.5</v>
      </c>
      <c r="G144" s="96">
        <f>ROUND((1-RevenueTableAnswer[[#This Row],[Discount on Total Revenue]])*RevenueTableAnswer[[#This Row],[Total Revenue]],2)</f>
        <v>1188.53</v>
      </c>
    </row>
    <row r="145" spans="1:7" x14ac:dyDescent="0.3">
      <c r="A145" s="101">
        <v>43042</v>
      </c>
      <c r="B145" s="96" t="s">
        <v>8</v>
      </c>
      <c r="C145" s="96">
        <v>48</v>
      </c>
      <c r="D145" s="59">
        <v>21.95</v>
      </c>
      <c r="E145" s="59">
        <v>1053.5999999999999</v>
      </c>
      <c r="F145" s="96">
        <f>VLOOKUP(RevenueTableAnswer[[#This Row],[Units Sold]],DiscountTableAnswer[],2)</f>
        <v>0.375</v>
      </c>
      <c r="G145" s="96">
        <f>ROUND((1-RevenueTableAnswer[[#This Row],[Discount on Total Revenue]])*RevenueTableAnswer[[#This Row],[Total Revenue]],2)</f>
        <v>658.5</v>
      </c>
    </row>
    <row r="146" spans="1:7" x14ac:dyDescent="0.3">
      <c r="A146" s="101">
        <v>43043</v>
      </c>
      <c r="B146" s="96" t="s">
        <v>7</v>
      </c>
      <c r="C146" s="96">
        <v>12</v>
      </c>
      <c r="D146" s="59">
        <v>43.95</v>
      </c>
      <c r="E146" s="59">
        <v>527.40000000000009</v>
      </c>
      <c r="F146" s="96">
        <f>VLOOKUP(RevenueTableAnswer[[#This Row],[Units Sold]],DiscountTableAnswer[],2)</f>
        <v>0.25</v>
      </c>
      <c r="G146" s="96">
        <f>ROUND((1-RevenueTableAnswer[[#This Row],[Discount on Total Revenue]])*RevenueTableAnswer[[#This Row],[Total Revenue]],2)</f>
        <v>395.55</v>
      </c>
    </row>
    <row r="147" spans="1:7" x14ac:dyDescent="0.3">
      <c r="A147" s="101">
        <v>43041</v>
      </c>
      <c r="B147" s="96" t="s">
        <v>7</v>
      </c>
      <c r="C147" s="96">
        <v>163</v>
      </c>
      <c r="D147" s="59">
        <v>43.95</v>
      </c>
      <c r="E147" s="59">
        <v>7163.85</v>
      </c>
      <c r="F147" s="96">
        <f>VLOOKUP(RevenueTableAnswer[[#This Row],[Units Sold]],DiscountTableAnswer[],2)</f>
        <v>0.5</v>
      </c>
      <c r="G147" s="96">
        <f>ROUND((1-RevenueTableAnswer[[#This Row],[Discount on Total Revenue]])*RevenueTableAnswer[[#This Row],[Total Revenue]],2)</f>
        <v>3581.93</v>
      </c>
    </row>
    <row r="148" spans="1:7" x14ac:dyDescent="0.3">
      <c r="A148" s="101">
        <v>43041</v>
      </c>
      <c r="B148" s="96" t="s">
        <v>8</v>
      </c>
      <c r="C148" s="96">
        <v>133</v>
      </c>
      <c r="D148" s="59">
        <v>21.95</v>
      </c>
      <c r="E148" s="59">
        <v>2919.35</v>
      </c>
      <c r="F148" s="96">
        <f>VLOOKUP(RevenueTableAnswer[[#This Row],[Units Sold]],DiscountTableAnswer[],2)</f>
        <v>0.4375</v>
      </c>
      <c r="G148" s="96">
        <f>ROUND((1-RevenueTableAnswer[[#This Row],[Discount on Total Revenue]])*RevenueTableAnswer[[#This Row],[Total Revenue]],2)</f>
        <v>1642.13</v>
      </c>
    </row>
    <row r="149" spans="1:7" x14ac:dyDescent="0.3">
      <c r="A149" s="101">
        <v>43042</v>
      </c>
      <c r="B149" s="96" t="s">
        <v>13</v>
      </c>
      <c r="C149" s="96">
        <v>63</v>
      </c>
      <c r="D149" s="59">
        <v>14.95</v>
      </c>
      <c r="E149" s="59">
        <v>941.84999999999991</v>
      </c>
      <c r="F149" s="96">
        <f>VLOOKUP(RevenueTableAnswer[[#This Row],[Units Sold]],DiscountTableAnswer[],2)</f>
        <v>0.375</v>
      </c>
      <c r="G149" s="96">
        <f>ROUND((1-RevenueTableAnswer[[#This Row],[Discount on Total Revenue]])*RevenueTableAnswer[[#This Row],[Total Revenue]],2)</f>
        <v>588.66</v>
      </c>
    </row>
    <row r="150" spans="1:7" x14ac:dyDescent="0.3">
      <c r="A150" s="101">
        <v>43040</v>
      </c>
      <c r="B150" s="96" t="s">
        <v>7</v>
      </c>
      <c r="C150" s="96">
        <v>95</v>
      </c>
      <c r="D150" s="59">
        <v>43.95</v>
      </c>
      <c r="E150" s="59">
        <v>4175.25</v>
      </c>
      <c r="F150" s="96">
        <f>VLOOKUP(RevenueTableAnswer[[#This Row],[Units Sold]],DiscountTableAnswer[],2)</f>
        <v>0.375</v>
      </c>
      <c r="G150" s="96">
        <f>ROUND((1-RevenueTableAnswer[[#This Row],[Discount on Total Revenue]])*RevenueTableAnswer[[#This Row],[Total Revenue]],2)</f>
        <v>2609.5300000000002</v>
      </c>
    </row>
    <row r="151" spans="1:7" x14ac:dyDescent="0.3">
      <c r="A151" s="101">
        <v>43042</v>
      </c>
      <c r="B151" s="96" t="s">
        <v>13</v>
      </c>
      <c r="C151" s="96">
        <v>51</v>
      </c>
      <c r="D151" s="59">
        <v>14.95</v>
      </c>
      <c r="E151" s="59">
        <v>762.44999999999993</v>
      </c>
      <c r="F151" s="96">
        <f>VLOOKUP(RevenueTableAnswer[[#This Row],[Units Sold]],DiscountTableAnswer[],2)</f>
        <v>0.375</v>
      </c>
      <c r="G151" s="96">
        <f>ROUND((1-RevenueTableAnswer[[#This Row],[Discount on Total Revenue]])*RevenueTableAnswer[[#This Row],[Total Revenue]],2)</f>
        <v>476.53</v>
      </c>
    </row>
    <row r="152" spans="1:7" x14ac:dyDescent="0.3">
      <c r="A152" s="101">
        <v>43045</v>
      </c>
      <c r="B152" s="96" t="s">
        <v>7</v>
      </c>
      <c r="C152" s="96">
        <v>75</v>
      </c>
      <c r="D152" s="59">
        <v>43.95</v>
      </c>
      <c r="E152" s="59">
        <v>3296.25</v>
      </c>
      <c r="F152" s="96">
        <f>VLOOKUP(RevenueTableAnswer[[#This Row],[Units Sold]],DiscountTableAnswer[],2)</f>
        <v>0.375</v>
      </c>
      <c r="G152" s="96">
        <f>ROUND((1-RevenueTableAnswer[[#This Row],[Discount on Total Revenue]])*RevenueTableAnswer[[#This Row],[Total Revenue]],2)</f>
        <v>2060.16</v>
      </c>
    </row>
    <row r="153" spans="1:7" x14ac:dyDescent="0.3">
      <c r="A153" s="101">
        <v>43043</v>
      </c>
      <c r="B153" s="96" t="s">
        <v>13</v>
      </c>
      <c r="C153" s="96">
        <v>174</v>
      </c>
      <c r="D153" s="59">
        <v>14.95</v>
      </c>
      <c r="E153" s="59">
        <v>2601.2999999999997</v>
      </c>
      <c r="F153" s="96">
        <f>VLOOKUP(RevenueTableAnswer[[#This Row],[Units Sold]],DiscountTableAnswer[],2)</f>
        <v>0.55000000000000004</v>
      </c>
      <c r="G153" s="96">
        <f>ROUND((1-RevenueTableAnswer[[#This Row],[Discount on Total Revenue]])*RevenueTableAnswer[[#This Row],[Total Revenue]],2)</f>
        <v>1170.5899999999999</v>
      </c>
    </row>
    <row r="154" spans="1:7" x14ac:dyDescent="0.3">
      <c r="A154" s="101">
        <v>43040</v>
      </c>
      <c r="B154" s="96" t="s">
        <v>13</v>
      </c>
      <c r="C154" s="96">
        <v>150</v>
      </c>
      <c r="D154" s="59">
        <v>14.95</v>
      </c>
      <c r="E154" s="59">
        <v>2242.5</v>
      </c>
      <c r="F154" s="96">
        <f>VLOOKUP(RevenueTableAnswer[[#This Row],[Units Sold]],DiscountTableAnswer[],2)</f>
        <v>0.5</v>
      </c>
      <c r="G154" s="96">
        <f>ROUND((1-RevenueTableAnswer[[#This Row],[Discount on Total Revenue]])*RevenueTableAnswer[[#This Row],[Total Revenue]],2)</f>
        <v>1121.25</v>
      </c>
    </row>
    <row r="155" spans="1:7" x14ac:dyDescent="0.3">
      <c r="A155" s="101">
        <v>43043</v>
      </c>
      <c r="B155" s="96" t="s">
        <v>13</v>
      </c>
      <c r="C155" s="96">
        <v>4</v>
      </c>
      <c r="D155" s="59">
        <v>14.95</v>
      </c>
      <c r="E155" s="59">
        <v>59.8</v>
      </c>
      <c r="F155" s="96">
        <f>VLOOKUP(RevenueTableAnswer[[#This Row],[Units Sold]],DiscountTableAnswer[],2)</f>
        <v>0</v>
      </c>
      <c r="G155" s="96">
        <f>ROUND((1-RevenueTableAnswer[[#This Row],[Discount on Total Revenue]])*RevenueTableAnswer[[#This Row],[Total Revenue]],2)</f>
        <v>59.8</v>
      </c>
    </row>
    <row r="156" spans="1:7" x14ac:dyDescent="0.3">
      <c r="A156" s="101">
        <v>43040</v>
      </c>
      <c r="B156" s="96" t="s">
        <v>7</v>
      </c>
      <c r="C156" s="96">
        <v>87</v>
      </c>
      <c r="D156" s="59">
        <v>43.95</v>
      </c>
      <c r="E156" s="59">
        <v>3823.65</v>
      </c>
      <c r="F156" s="96">
        <f>VLOOKUP(RevenueTableAnswer[[#This Row],[Units Sold]],DiscountTableAnswer[],2)</f>
        <v>0.375</v>
      </c>
      <c r="G156" s="96">
        <f>ROUND((1-RevenueTableAnswer[[#This Row],[Discount on Total Revenue]])*RevenueTableAnswer[[#This Row],[Total Revenue]],2)</f>
        <v>2389.7800000000002</v>
      </c>
    </row>
    <row r="157" spans="1:7" x14ac:dyDescent="0.3">
      <c r="A157" s="101">
        <v>43040</v>
      </c>
      <c r="B157" s="96" t="s">
        <v>13</v>
      </c>
      <c r="C157" s="96">
        <v>105</v>
      </c>
      <c r="D157" s="59">
        <v>14.95</v>
      </c>
      <c r="E157" s="59">
        <v>1569.75</v>
      </c>
      <c r="F157" s="96">
        <f>VLOOKUP(RevenueTableAnswer[[#This Row],[Units Sold]],DiscountTableAnswer[],2)</f>
        <v>0.4375</v>
      </c>
      <c r="G157" s="96">
        <f>ROUND((1-RevenueTableAnswer[[#This Row],[Discount on Total Revenue]])*RevenueTableAnswer[[#This Row],[Total Revenue]],2)</f>
        <v>882.98</v>
      </c>
    </row>
    <row r="158" spans="1:7" x14ac:dyDescent="0.3">
      <c r="A158" s="101">
        <v>43045</v>
      </c>
      <c r="B158" s="96" t="s">
        <v>13</v>
      </c>
      <c r="C158" s="96">
        <v>129</v>
      </c>
      <c r="D158" s="59">
        <v>14.95</v>
      </c>
      <c r="E158" s="59">
        <v>1928.55</v>
      </c>
      <c r="F158" s="96">
        <f>VLOOKUP(RevenueTableAnswer[[#This Row],[Units Sold]],DiscountTableAnswer[],2)</f>
        <v>0.4375</v>
      </c>
      <c r="G158" s="96">
        <f>ROUND((1-RevenueTableAnswer[[#This Row],[Discount on Total Revenue]])*RevenueTableAnswer[[#This Row],[Total Revenue]],2)</f>
        <v>1084.81</v>
      </c>
    </row>
    <row r="159" spans="1:7" x14ac:dyDescent="0.3">
      <c r="A159" s="101">
        <v>43047</v>
      </c>
      <c r="B159" s="96" t="s">
        <v>13</v>
      </c>
      <c r="C159" s="96">
        <v>9</v>
      </c>
      <c r="D159" s="59">
        <v>14.95</v>
      </c>
      <c r="E159" s="59">
        <v>134.54999999999998</v>
      </c>
      <c r="F159" s="96">
        <f>VLOOKUP(RevenueTableAnswer[[#This Row],[Units Sold]],DiscountTableAnswer[],2)</f>
        <v>0</v>
      </c>
      <c r="G159" s="96">
        <f>ROUND((1-RevenueTableAnswer[[#This Row],[Discount on Total Revenue]])*RevenueTableAnswer[[#This Row],[Total Revenue]],2)</f>
        <v>134.55000000000001</v>
      </c>
    </row>
    <row r="160" spans="1:7" x14ac:dyDescent="0.3">
      <c r="A160" s="101">
        <v>43044</v>
      </c>
      <c r="B160" s="96" t="s">
        <v>13</v>
      </c>
      <c r="C160" s="96">
        <v>90</v>
      </c>
      <c r="D160" s="59">
        <v>14.95</v>
      </c>
      <c r="E160" s="59">
        <v>1345.5</v>
      </c>
      <c r="F160" s="96">
        <f>VLOOKUP(RevenueTableAnswer[[#This Row],[Units Sold]],DiscountTableAnswer[],2)</f>
        <v>0.375</v>
      </c>
      <c r="G160" s="96">
        <f>ROUND((1-RevenueTableAnswer[[#This Row],[Discount on Total Revenue]])*RevenueTableAnswer[[#This Row],[Total Revenue]],2)</f>
        <v>840.94</v>
      </c>
    </row>
    <row r="161" spans="1:7" x14ac:dyDescent="0.3">
      <c r="A161" s="101">
        <v>43041</v>
      </c>
      <c r="B161" s="96" t="s">
        <v>8</v>
      </c>
      <c r="C161" s="96">
        <v>14</v>
      </c>
      <c r="D161" s="59">
        <v>21.95</v>
      </c>
      <c r="E161" s="59">
        <v>307.3</v>
      </c>
      <c r="F161" s="96">
        <f>VLOOKUP(RevenueTableAnswer[[#This Row],[Units Sold]],DiscountTableAnswer[],2)</f>
        <v>0.25</v>
      </c>
      <c r="G161" s="96">
        <f>ROUND((1-RevenueTableAnswer[[#This Row],[Discount on Total Revenue]])*RevenueTableAnswer[[#This Row],[Total Revenue]],2)</f>
        <v>230.48</v>
      </c>
    </row>
    <row r="162" spans="1:7" x14ac:dyDescent="0.3">
      <c r="A162" s="101">
        <v>43041</v>
      </c>
      <c r="B162" s="96" t="s">
        <v>8</v>
      </c>
      <c r="C162" s="96">
        <v>134</v>
      </c>
      <c r="D162" s="59">
        <v>21.95</v>
      </c>
      <c r="E162" s="59">
        <v>2941.2999999999997</v>
      </c>
      <c r="F162" s="96">
        <f>VLOOKUP(RevenueTableAnswer[[#This Row],[Units Sold]],DiscountTableAnswer[],2)</f>
        <v>0.4375</v>
      </c>
      <c r="G162" s="96">
        <f>ROUND((1-RevenueTableAnswer[[#This Row],[Discount on Total Revenue]])*RevenueTableAnswer[[#This Row],[Total Revenue]],2)</f>
        <v>1654.48</v>
      </c>
    </row>
    <row r="163" spans="1:7" x14ac:dyDescent="0.3">
      <c r="A163" s="101">
        <v>43047</v>
      </c>
      <c r="B163" s="96" t="s">
        <v>5</v>
      </c>
      <c r="C163" s="96">
        <v>102</v>
      </c>
      <c r="D163" s="59">
        <v>22.95</v>
      </c>
      <c r="E163" s="59">
        <v>2340.9</v>
      </c>
      <c r="F163" s="96">
        <f>VLOOKUP(RevenueTableAnswer[[#This Row],[Units Sold]],DiscountTableAnswer[],2)</f>
        <v>0.4375</v>
      </c>
      <c r="G163" s="96">
        <f>ROUND((1-RevenueTableAnswer[[#This Row],[Discount on Total Revenue]])*RevenueTableAnswer[[#This Row],[Total Revenue]],2)</f>
        <v>1316.76</v>
      </c>
    </row>
    <row r="164" spans="1:7" x14ac:dyDescent="0.3">
      <c r="A164" s="101">
        <v>43042</v>
      </c>
      <c r="B164" s="96" t="s">
        <v>7</v>
      </c>
      <c r="C164" s="96">
        <v>46</v>
      </c>
      <c r="D164" s="59">
        <v>43.95</v>
      </c>
      <c r="E164" s="59">
        <v>2021.7</v>
      </c>
      <c r="F164" s="96">
        <f>VLOOKUP(RevenueTableAnswer[[#This Row],[Units Sold]],DiscountTableAnswer[],2)</f>
        <v>0.25</v>
      </c>
      <c r="G164" s="96">
        <f>ROUND((1-RevenueTableAnswer[[#This Row],[Discount on Total Revenue]])*RevenueTableAnswer[[#This Row],[Total Revenue]],2)</f>
        <v>1516.28</v>
      </c>
    </row>
    <row r="165" spans="1:7" x14ac:dyDescent="0.3">
      <c r="A165" s="101">
        <v>43046</v>
      </c>
      <c r="B165" s="96" t="s">
        <v>7</v>
      </c>
      <c r="C165" s="96">
        <v>182</v>
      </c>
      <c r="D165" s="59">
        <v>43.95</v>
      </c>
      <c r="E165" s="59">
        <v>7998.9000000000005</v>
      </c>
      <c r="F165" s="96">
        <f>VLOOKUP(RevenueTableAnswer[[#This Row],[Units Sold]],DiscountTableAnswer[],2)</f>
        <v>0.55000000000000004</v>
      </c>
      <c r="G165" s="96">
        <f>ROUND((1-RevenueTableAnswer[[#This Row],[Discount on Total Revenue]])*RevenueTableAnswer[[#This Row],[Total Revenue]],2)</f>
        <v>3599.51</v>
      </c>
    </row>
    <row r="166" spans="1:7" x14ac:dyDescent="0.3">
      <c r="A166" s="101">
        <v>43041</v>
      </c>
      <c r="B166" s="96" t="s">
        <v>7</v>
      </c>
      <c r="C166" s="96">
        <v>190</v>
      </c>
      <c r="D166" s="59">
        <v>43.95</v>
      </c>
      <c r="E166" s="59">
        <v>8350.5</v>
      </c>
      <c r="F166" s="96">
        <f>VLOOKUP(RevenueTableAnswer[[#This Row],[Units Sold]],DiscountTableAnswer[],2)</f>
        <v>0.55000000000000004</v>
      </c>
      <c r="G166" s="96">
        <f>ROUND((1-RevenueTableAnswer[[#This Row],[Discount on Total Revenue]])*RevenueTableAnswer[[#This Row],[Total Revenue]],2)</f>
        <v>3757.73</v>
      </c>
    </row>
    <row r="167" spans="1:7" x14ac:dyDescent="0.3">
      <c r="A167" s="101">
        <v>43045</v>
      </c>
      <c r="B167" s="96" t="s">
        <v>5</v>
      </c>
      <c r="C167" s="96">
        <v>13</v>
      </c>
      <c r="D167" s="59">
        <v>22.95</v>
      </c>
      <c r="E167" s="59">
        <v>298.34999999999997</v>
      </c>
      <c r="F167" s="96">
        <f>VLOOKUP(RevenueTableAnswer[[#This Row],[Units Sold]],DiscountTableAnswer[],2)</f>
        <v>0.25</v>
      </c>
      <c r="G167" s="96">
        <f>ROUND((1-RevenueTableAnswer[[#This Row],[Discount on Total Revenue]])*RevenueTableAnswer[[#This Row],[Total Revenue]],2)</f>
        <v>223.76</v>
      </c>
    </row>
    <row r="168" spans="1:7" x14ac:dyDescent="0.3">
      <c r="A168" s="101">
        <v>43045</v>
      </c>
      <c r="B168" s="96" t="s">
        <v>8</v>
      </c>
      <c r="C168" s="96">
        <v>132</v>
      </c>
      <c r="D168" s="59">
        <v>21.95</v>
      </c>
      <c r="E168" s="59">
        <v>2897.4</v>
      </c>
      <c r="F168" s="96">
        <f>VLOOKUP(RevenueTableAnswer[[#This Row],[Units Sold]],DiscountTableAnswer[],2)</f>
        <v>0.4375</v>
      </c>
      <c r="G168" s="96">
        <f>ROUND((1-RevenueTableAnswer[[#This Row],[Discount on Total Revenue]])*RevenueTableAnswer[[#This Row],[Total Revenue]],2)</f>
        <v>1629.79</v>
      </c>
    </row>
    <row r="169" spans="1:7" x14ac:dyDescent="0.3">
      <c r="A169" s="101">
        <v>43047</v>
      </c>
      <c r="B169" s="96" t="s">
        <v>8</v>
      </c>
      <c r="C169" s="96">
        <v>52</v>
      </c>
      <c r="D169" s="59">
        <v>21.95</v>
      </c>
      <c r="E169" s="59">
        <v>1141.3999999999999</v>
      </c>
      <c r="F169" s="96">
        <f>VLOOKUP(RevenueTableAnswer[[#This Row],[Units Sold]],DiscountTableAnswer[],2)</f>
        <v>0.375</v>
      </c>
      <c r="G169" s="96">
        <f>ROUND((1-RevenueTableAnswer[[#This Row],[Discount on Total Revenue]])*RevenueTableAnswer[[#This Row],[Total Revenue]],2)</f>
        <v>713.38</v>
      </c>
    </row>
    <row r="170" spans="1:7" x14ac:dyDescent="0.3">
      <c r="A170" s="101">
        <v>43040</v>
      </c>
      <c r="B170" s="96" t="s">
        <v>13</v>
      </c>
      <c r="C170" s="96">
        <v>105</v>
      </c>
      <c r="D170" s="59">
        <v>14.95</v>
      </c>
      <c r="E170" s="59">
        <v>1569.75</v>
      </c>
      <c r="F170" s="96">
        <f>VLOOKUP(RevenueTableAnswer[[#This Row],[Units Sold]],DiscountTableAnswer[],2)</f>
        <v>0.4375</v>
      </c>
      <c r="G170" s="96">
        <f>ROUND((1-RevenueTableAnswer[[#This Row],[Discount on Total Revenue]])*RevenueTableAnswer[[#This Row],[Total Revenue]],2)</f>
        <v>882.98</v>
      </c>
    </row>
    <row r="171" spans="1:7" x14ac:dyDescent="0.3">
      <c r="A171" s="101">
        <v>43041</v>
      </c>
      <c r="B171" s="96" t="s">
        <v>5</v>
      </c>
      <c r="C171" s="96">
        <v>142</v>
      </c>
      <c r="D171" s="59">
        <v>22.95</v>
      </c>
      <c r="E171" s="59">
        <v>3258.9</v>
      </c>
      <c r="F171" s="96">
        <f>VLOOKUP(RevenueTableAnswer[[#This Row],[Units Sold]],DiscountTableAnswer[],2)</f>
        <v>0.4375</v>
      </c>
      <c r="G171" s="96">
        <f>ROUND((1-RevenueTableAnswer[[#This Row],[Discount on Total Revenue]])*RevenueTableAnswer[[#This Row],[Total Revenue]],2)</f>
        <v>1833.13</v>
      </c>
    </row>
    <row r="172" spans="1:7" x14ac:dyDescent="0.3">
      <c r="A172" s="101">
        <v>43047</v>
      </c>
      <c r="B172" s="96" t="s">
        <v>5</v>
      </c>
      <c r="C172" s="96">
        <v>132</v>
      </c>
      <c r="D172" s="59">
        <v>22.95</v>
      </c>
      <c r="E172" s="59">
        <v>3029.4</v>
      </c>
      <c r="F172" s="96">
        <f>VLOOKUP(RevenueTableAnswer[[#This Row],[Units Sold]],DiscountTableAnswer[],2)</f>
        <v>0.4375</v>
      </c>
      <c r="G172" s="96">
        <f>ROUND((1-RevenueTableAnswer[[#This Row],[Discount on Total Revenue]])*RevenueTableAnswer[[#This Row],[Total Revenue]],2)</f>
        <v>1704.04</v>
      </c>
    </row>
    <row r="173" spans="1:7" x14ac:dyDescent="0.3">
      <c r="A173" s="101">
        <v>43043</v>
      </c>
      <c r="B173" s="96" t="s">
        <v>13</v>
      </c>
      <c r="C173" s="96">
        <v>116</v>
      </c>
      <c r="D173" s="59">
        <v>14.95</v>
      </c>
      <c r="E173" s="59">
        <v>1734.1999999999998</v>
      </c>
      <c r="F173" s="96">
        <f>VLOOKUP(RevenueTableAnswer[[#This Row],[Units Sold]],DiscountTableAnswer[],2)</f>
        <v>0.4375</v>
      </c>
      <c r="G173" s="96">
        <f>ROUND((1-RevenueTableAnswer[[#This Row],[Discount on Total Revenue]])*RevenueTableAnswer[[#This Row],[Total Revenue]],2)</f>
        <v>975.49</v>
      </c>
    </row>
    <row r="174" spans="1:7" x14ac:dyDescent="0.3">
      <c r="A174" s="101">
        <v>43047</v>
      </c>
      <c r="B174" s="96" t="s">
        <v>13</v>
      </c>
      <c r="C174" s="96">
        <v>89</v>
      </c>
      <c r="D174" s="59">
        <v>14.95</v>
      </c>
      <c r="E174" s="59">
        <v>1330.55</v>
      </c>
      <c r="F174" s="96">
        <f>VLOOKUP(RevenueTableAnswer[[#This Row],[Units Sold]],DiscountTableAnswer[],2)</f>
        <v>0.375</v>
      </c>
      <c r="G174" s="96">
        <f>ROUND((1-RevenueTableAnswer[[#This Row],[Discount on Total Revenue]])*RevenueTableAnswer[[#This Row],[Total Revenue]],2)</f>
        <v>831.59</v>
      </c>
    </row>
    <row r="175" spans="1:7" x14ac:dyDescent="0.3">
      <c r="A175" s="101">
        <v>43042</v>
      </c>
      <c r="B175" s="96" t="s">
        <v>7</v>
      </c>
      <c r="C175" s="96">
        <v>156</v>
      </c>
      <c r="D175" s="59">
        <v>43.95</v>
      </c>
      <c r="E175" s="59">
        <v>6856.2000000000007</v>
      </c>
      <c r="F175" s="96">
        <f>VLOOKUP(RevenueTableAnswer[[#This Row],[Units Sold]],DiscountTableAnswer[],2)</f>
        <v>0.5</v>
      </c>
      <c r="G175" s="96">
        <f>ROUND((1-RevenueTableAnswer[[#This Row],[Discount on Total Revenue]])*RevenueTableAnswer[[#This Row],[Total Revenue]],2)</f>
        <v>3428.1</v>
      </c>
    </row>
    <row r="176" spans="1:7" x14ac:dyDescent="0.3">
      <c r="A176" s="101">
        <v>43045</v>
      </c>
      <c r="B176" s="96" t="s">
        <v>7</v>
      </c>
      <c r="C176" s="96">
        <v>136</v>
      </c>
      <c r="D176" s="59">
        <v>43.95</v>
      </c>
      <c r="E176" s="59">
        <v>5977.2000000000007</v>
      </c>
      <c r="F176" s="96">
        <f>VLOOKUP(RevenueTableAnswer[[#This Row],[Units Sold]],DiscountTableAnswer[],2)</f>
        <v>0.4375</v>
      </c>
      <c r="G176" s="96">
        <f>ROUND((1-RevenueTableAnswer[[#This Row],[Discount on Total Revenue]])*RevenueTableAnswer[[#This Row],[Total Revenue]],2)</f>
        <v>3362.18</v>
      </c>
    </row>
    <row r="177" spans="1:7" x14ac:dyDescent="0.3">
      <c r="A177" s="101">
        <v>43043</v>
      </c>
      <c r="B177" s="96" t="s">
        <v>8</v>
      </c>
      <c r="C177" s="96">
        <v>77</v>
      </c>
      <c r="D177" s="59">
        <v>21.95</v>
      </c>
      <c r="E177" s="59">
        <v>1690.1499999999999</v>
      </c>
      <c r="F177" s="96">
        <f>VLOOKUP(RevenueTableAnswer[[#This Row],[Units Sold]],DiscountTableAnswer[],2)</f>
        <v>0.375</v>
      </c>
      <c r="G177" s="96">
        <f>ROUND((1-RevenueTableAnswer[[#This Row],[Discount on Total Revenue]])*RevenueTableAnswer[[#This Row],[Total Revenue]],2)</f>
        <v>1056.3399999999999</v>
      </c>
    </row>
    <row r="178" spans="1:7" x14ac:dyDescent="0.3">
      <c r="A178" s="101">
        <v>43044</v>
      </c>
      <c r="B178" s="96" t="s">
        <v>5</v>
      </c>
      <c r="C178" s="96">
        <v>97</v>
      </c>
      <c r="D178" s="59">
        <v>22.95</v>
      </c>
      <c r="E178" s="59">
        <v>2226.15</v>
      </c>
      <c r="F178" s="96">
        <f>VLOOKUP(RevenueTableAnswer[[#This Row],[Units Sold]],DiscountTableAnswer[],2)</f>
        <v>0.4375</v>
      </c>
      <c r="G178" s="96">
        <f>ROUND((1-RevenueTableAnswer[[#This Row],[Discount on Total Revenue]])*RevenueTableAnswer[[#This Row],[Total Revenue]],2)</f>
        <v>1252.21</v>
      </c>
    </row>
    <row r="179" spans="1:7" x14ac:dyDescent="0.3">
      <c r="A179" s="101">
        <v>43047</v>
      </c>
      <c r="B179" s="96" t="s">
        <v>8</v>
      </c>
      <c r="C179" s="96">
        <v>121</v>
      </c>
      <c r="D179" s="59">
        <v>21.95</v>
      </c>
      <c r="E179" s="59">
        <v>2655.95</v>
      </c>
      <c r="F179" s="96">
        <f>VLOOKUP(RevenueTableAnswer[[#This Row],[Units Sold]],DiscountTableAnswer[],2)</f>
        <v>0.4375</v>
      </c>
      <c r="G179" s="96">
        <f>ROUND((1-RevenueTableAnswer[[#This Row],[Discount on Total Revenue]])*RevenueTableAnswer[[#This Row],[Total Revenue]],2)</f>
        <v>1493.97</v>
      </c>
    </row>
    <row r="180" spans="1:7" x14ac:dyDescent="0.3">
      <c r="A180" s="101">
        <v>43041</v>
      </c>
      <c r="B180" s="96" t="s">
        <v>7</v>
      </c>
      <c r="C180" s="96">
        <v>3</v>
      </c>
      <c r="D180" s="59">
        <v>43.95</v>
      </c>
      <c r="E180" s="59">
        <v>131.85000000000002</v>
      </c>
      <c r="F180" s="96">
        <f>VLOOKUP(RevenueTableAnswer[[#This Row],[Units Sold]],DiscountTableAnswer[],2)</f>
        <v>0</v>
      </c>
      <c r="G180" s="96">
        <f>ROUND((1-RevenueTableAnswer[[#This Row],[Discount on Total Revenue]])*RevenueTableAnswer[[#This Row],[Total Revenue]],2)</f>
        <v>131.85</v>
      </c>
    </row>
    <row r="181" spans="1:7" x14ac:dyDescent="0.3">
      <c r="A181" s="101">
        <v>43043</v>
      </c>
      <c r="B181" s="96" t="s">
        <v>5</v>
      </c>
      <c r="C181" s="96">
        <v>56</v>
      </c>
      <c r="D181" s="59">
        <v>22.95</v>
      </c>
      <c r="E181" s="59">
        <v>1285.2</v>
      </c>
      <c r="F181" s="96">
        <f>VLOOKUP(RevenueTableAnswer[[#This Row],[Units Sold]],DiscountTableAnswer[],2)</f>
        <v>0.375</v>
      </c>
      <c r="G181" s="96">
        <f>ROUND((1-RevenueTableAnswer[[#This Row],[Discount on Total Revenue]])*RevenueTableAnswer[[#This Row],[Total Revenue]],2)</f>
        <v>803.25</v>
      </c>
    </row>
    <row r="182" spans="1:7" x14ac:dyDescent="0.3">
      <c r="A182" s="101">
        <v>43043</v>
      </c>
      <c r="B182" s="96" t="s">
        <v>7</v>
      </c>
      <c r="C182" s="96">
        <v>177</v>
      </c>
      <c r="D182" s="59">
        <v>43.95</v>
      </c>
      <c r="E182" s="59">
        <v>7779.1500000000005</v>
      </c>
      <c r="F182" s="96">
        <f>VLOOKUP(RevenueTableAnswer[[#This Row],[Units Sold]],DiscountTableAnswer[],2)</f>
        <v>0.55000000000000004</v>
      </c>
      <c r="G182" s="96">
        <f>ROUND((1-RevenueTableAnswer[[#This Row],[Discount on Total Revenue]])*RevenueTableAnswer[[#This Row],[Total Revenue]],2)</f>
        <v>3500.62</v>
      </c>
    </row>
    <row r="183" spans="1:7" x14ac:dyDescent="0.3">
      <c r="A183" s="101">
        <v>43043</v>
      </c>
      <c r="B183" s="96" t="s">
        <v>7</v>
      </c>
      <c r="C183" s="96">
        <v>140</v>
      </c>
      <c r="D183" s="59">
        <v>43.95</v>
      </c>
      <c r="E183" s="59">
        <v>6153</v>
      </c>
      <c r="F183" s="96">
        <f>VLOOKUP(RevenueTableAnswer[[#This Row],[Units Sold]],DiscountTableAnswer[],2)</f>
        <v>0.4375</v>
      </c>
      <c r="G183" s="96">
        <f>ROUND((1-RevenueTableAnswer[[#This Row],[Discount on Total Revenue]])*RevenueTableAnswer[[#This Row],[Total Revenue]],2)</f>
        <v>3461.06</v>
      </c>
    </row>
    <row r="184" spans="1:7" x14ac:dyDescent="0.3">
      <c r="A184" s="101">
        <v>43047</v>
      </c>
      <c r="B184" s="96" t="s">
        <v>8</v>
      </c>
      <c r="C184" s="96">
        <v>173</v>
      </c>
      <c r="D184" s="59">
        <v>21.95</v>
      </c>
      <c r="E184" s="59">
        <v>3797.35</v>
      </c>
      <c r="F184" s="96">
        <f>VLOOKUP(RevenueTableAnswer[[#This Row],[Units Sold]],DiscountTableAnswer[],2)</f>
        <v>0.55000000000000004</v>
      </c>
      <c r="G184" s="96">
        <f>ROUND((1-RevenueTableAnswer[[#This Row],[Discount on Total Revenue]])*RevenueTableAnswer[[#This Row],[Total Revenue]],2)</f>
        <v>1708.81</v>
      </c>
    </row>
    <row r="185" spans="1:7" x14ac:dyDescent="0.3">
      <c r="A185" s="101">
        <v>43045</v>
      </c>
      <c r="B185" s="96" t="s">
        <v>8</v>
      </c>
      <c r="C185" s="96">
        <v>27</v>
      </c>
      <c r="D185" s="59">
        <v>21.95</v>
      </c>
      <c r="E185" s="59">
        <v>592.65</v>
      </c>
      <c r="F185" s="96">
        <f>VLOOKUP(RevenueTableAnswer[[#This Row],[Units Sold]],DiscountTableAnswer[],2)</f>
        <v>0.25</v>
      </c>
      <c r="G185" s="96">
        <f>ROUND((1-RevenueTableAnswer[[#This Row],[Discount on Total Revenue]])*RevenueTableAnswer[[#This Row],[Total Revenue]],2)</f>
        <v>444.49</v>
      </c>
    </row>
    <row r="186" spans="1:7" x14ac:dyDescent="0.3">
      <c r="A186" s="101">
        <v>43043</v>
      </c>
      <c r="B186" s="96" t="s">
        <v>7</v>
      </c>
      <c r="C186" s="96">
        <v>87</v>
      </c>
      <c r="D186" s="59">
        <v>43.95</v>
      </c>
      <c r="E186" s="59">
        <v>3823.65</v>
      </c>
      <c r="F186" s="96">
        <f>VLOOKUP(RevenueTableAnswer[[#This Row],[Units Sold]],DiscountTableAnswer[],2)</f>
        <v>0.375</v>
      </c>
      <c r="G186" s="96">
        <f>ROUND((1-RevenueTableAnswer[[#This Row],[Discount on Total Revenue]])*RevenueTableAnswer[[#This Row],[Total Revenue]],2)</f>
        <v>2389.7800000000002</v>
      </c>
    </row>
    <row r="187" spans="1:7" x14ac:dyDescent="0.3">
      <c r="A187" s="101">
        <v>43043</v>
      </c>
      <c r="B187" s="96" t="s">
        <v>8</v>
      </c>
      <c r="C187" s="96">
        <v>20</v>
      </c>
      <c r="D187" s="59">
        <v>21.95</v>
      </c>
      <c r="E187" s="59">
        <v>439</v>
      </c>
      <c r="F187" s="96">
        <f>VLOOKUP(RevenueTableAnswer[[#This Row],[Units Sold]],DiscountTableAnswer[],2)</f>
        <v>0.25</v>
      </c>
      <c r="G187" s="96">
        <f>ROUND((1-RevenueTableAnswer[[#This Row],[Discount on Total Revenue]])*RevenueTableAnswer[[#This Row],[Total Revenue]],2)</f>
        <v>329.25</v>
      </c>
    </row>
    <row r="188" spans="1:7" x14ac:dyDescent="0.3">
      <c r="A188" s="101">
        <v>43043</v>
      </c>
      <c r="B188" s="96" t="s">
        <v>7</v>
      </c>
      <c r="C188" s="96">
        <v>191</v>
      </c>
      <c r="D188" s="59">
        <v>43.95</v>
      </c>
      <c r="E188" s="59">
        <v>8394.4500000000007</v>
      </c>
      <c r="F188" s="96">
        <f>VLOOKUP(RevenueTableAnswer[[#This Row],[Units Sold]],DiscountTableAnswer[],2)</f>
        <v>0.55000000000000004</v>
      </c>
      <c r="G188" s="96">
        <f>ROUND((1-RevenueTableAnswer[[#This Row],[Discount on Total Revenue]])*RevenueTableAnswer[[#This Row],[Total Revenue]],2)</f>
        <v>3777.5</v>
      </c>
    </row>
    <row r="189" spans="1:7" x14ac:dyDescent="0.3">
      <c r="A189" s="101">
        <v>43040</v>
      </c>
      <c r="B189" s="96" t="s">
        <v>7</v>
      </c>
      <c r="C189" s="96">
        <v>70</v>
      </c>
      <c r="D189" s="59">
        <v>43.95</v>
      </c>
      <c r="E189" s="59">
        <v>3076.5</v>
      </c>
      <c r="F189" s="96">
        <f>VLOOKUP(RevenueTableAnswer[[#This Row],[Units Sold]],DiscountTableAnswer[],2)</f>
        <v>0.375</v>
      </c>
      <c r="G189" s="96">
        <f>ROUND((1-RevenueTableAnswer[[#This Row],[Discount on Total Revenue]])*RevenueTableAnswer[[#This Row],[Total Revenue]],2)</f>
        <v>1922.81</v>
      </c>
    </row>
    <row r="190" spans="1:7" x14ac:dyDescent="0.3">
      <c r="A190" s="101">
        <v>43043</v>
      </c>
      <c r="B190" s="96" t="s">
        <v>13</v>
      </c>
      <c r="C190" s="96">
        <v>186</v>
      </c>
      <c r="D190" s="59">
        <v>14.95</v>
      </c>
      <c r="E190" s="59">
        <v>2780.7</v>
      </c>
      <c r="F190" s="96">
        <f>VLOOKUP(RevenueTableAnswer[[#This Row],[Units Sold]],DiscountTableAnswer[],2)</f>
        <v>0.55000000000000004</v>
      </c>
      <c r="G190" s="96">
        <f>ROUND((1-RevenueTableAnswer[[#This Row],[Discount on Total Revenue]])*RevenueTableAnswer[[#This Row],[Total Revenue]],2)</f>
        <v>1251.32</v>
      </c>
    </row>
    <row r="191" spans="1:7" x14ac:dyDescent="0.3">
      <c r="A191" s="101">
        <v>43043</v>
      </c>
      <c r="B191" s="96" t="s">
        <v>8</v>
      </c>
      <c r="C191" s="96">
        <v>126</v>
      </c>
      <c r="D191" s="59">
        <v>21.95</v>
      </c>
      <c r="E191" s="59">
        <v>2765.7</v>
      </c>
      <c r="F191" s="96">
        <f>VLOOKUP(RevenueTableAnswer[[#This Row],[Units Sold]],DiscountTableAnswer[],2)</f>
        <v>0.4375</v>
      </c>
      <c r="G191" s="96">
        <f>ROUND((1-RevenueTableAnswer[[#This Row],[Discount on Total Revenue]])*RevenueTableAnswer[[#This Row],[Total Revenue]],2)</f>
        <v>1555.71</v>
      </c>
    </row>
    <row r="192" spans="1:7" x14ac:dyDescent="0.3">
      <c r="A192" s="101">
        <v>43040</v>
      </c>
      <c r="B192" s="96" t="s">
        <v>13</v>
      </c>
      <c r="C192" s="96">
        <v>3</v>
      </c>
      <c r="D192" s="59">
        <v>14.95</v>
      </c>
      <c r="E192" s="59">
        <v>44.849999999999994</v>
      </c>
      <c r="F192" s="96">
        <f>VLOOKUP(RevenueTableAnswer[[#This Row],[Units Sold]],DiscountTableAnswer[],2)</f>
        <v>0</v>
      </c>
      <c r="G192" s="96">
        <f>ROUND((1-RevenueTableAnswer[[#This Row],[Discount on Total Revenue]])*RevenueTableAnswer[[#This Row],[Total Revenue]],2)</f>
        <v>44.85</v>
      </c>
    </row>
    <row r="193" spans="1:7" x14ac:dyDescent="0.3">
      <c r="A193" s="101">
        <v>43043</v>
      </c>
      <c r="B193" s="96" t="s">
        <v>8</v>
      </c>
      <c r="C193" s="96">
        <v>92</v>
      </c>
      <c r="D193" s="59">
        <v>21.95</v>
      </c>
      <c r="E193" s="59">
        <v>2019.3999999999999</v>
      </c>
      <c r="F193" s="96">
        <f>VLOOKUP(RevenueTableAnswer[[#This Row],[Units Sold]],DiscountTableAnswer[],2)</f>
        <v>0.375</v>
      </c>
      <c r="G193" s="96">
        <f>ROUND((1-RevenueTableAnswer[[#This Row],[Discount on Total Revenue]])*RevenueTableAnswer[[#This Row],[Total Revenue]],2)</f>
        <v>1262.1300000000001</v>
      </c>
    </row>
    <row r="194" spans="1:7" x14ac:dyDescent="0.3">
      <c r="A194" s="101">
        <v>43043</v>
      </c>
      <c r="B194" s="96" t="s">
        <v>5</v>
      </c>
      <c r="C194" s="96">
        <v>3</v>
      </c>
      <c r="D194" s="59">
        <v>22.95</v>
      </c>
      <c r="E194" s="59">
        <v>68.849999999999994</v>
      </c>
      <c r="F194" s="96">
        <f>VLOOKUP(RevenueTableAnswer[[#This Row],[Units Sold]],DiscountTableAnswer[],2)</f>
        <v>0</v>
      </c>
      <c r="G194" s="96">
        <f>ROUND((1-RevenueTableAnswer[[#This Row],[Discount on Total Revenue]])*RevenueTableAnswer[[#This Row],[Total Revenue]],2)</f>
        <v>68.849999999999994</v>
      </c>
    </row>
    <row r="195" spans="1:7" x14ac:dyDescent="0.3">
      <c r="A195" s="101">
        <v>43044</v>
      </c>
      <c r="B195" s="96" t="s">
        <v>7</v>
      </c>
      <c r="C195" s="96">
        <v>82</v>
      </c>
      <c r="D195" s="59">
        <v>43.95</v>
      </c>
      <c r="E195" s="59">
        <v>3603.9</v>
      </c>
      <c r="F195" s="96">
        <f>VLOOKUP(RevenueTableAnswer[[#This Row],[Units Sold]],DiscountTableAnswer[],2)</f>
        <v>0.375</v>
      </c>
      <c r="G195" s="96">
        <f>ROUND((1-RevenueTableAnswer[[#This Row],[Discount on Total Revenue]])*RevenueTableAnswer[[#This Row],[Total Revenue]],2)</f>
        <v>2252.44</v>
      </c>
    </row>
    <row r="196" spans="1:7" x14ac:dyDescent="0.3">
      <c r="A196" s="101">
        <v>43040</v>
      </c>
      <c r="B196" s="96" t="s">
        <v>7</v>
      </c>
      <c r="C196" s="96">
        <v>99</v>
      </c>
      <c r="D196" s="59">
        <v>43.95</v>
      </c>
      <c r="E196" s="59">
        <v>4351.05</v>
      </c>
      <c r="F196" s="96">
        <f>VLOOKUP(RevenueTableAnswer[[#This Row],[Units Sold]],DiscountTableAnswer[],2)</f>
        <v>0.4375</v>
      </c>
      <c r="G196" s="96">
        <f>ROUND((1-RevenueTableAnswer[[#This Row],[Discount on Total Revenue]])*RevenueTableAnswer[[#This Row],[Total Revenue]],2)</f>
        <v>2447.4699999999998</v>
      </c>
    </row>
    <row r="197" spans="1:7" x14ac:dyDescent="0.3">
      <c r="A197" s="101">
        <v>43045</v>
      </c>
      <c r="B197" s="96" t="s">
        <v>8</v>
      </c>
      <c r="C197" s="96">
        <v>131</v>
      </c>
      <c r="D197" s="59">
        <v>21.95</v>
      </c>
      <c r="E197" s="59">
        <v>2875.45</v>
      </c>
      <c r="F197" s="96">
        <f>VLOOKUP(RevenueTableAnswer[[#This Row],[Units Sold]],DiscountTableAnswer[],2)</f>
        <v>0.4375</v>
      </c>
      <c r="G197" s="96">
        <f>ROUND((1-RevenueTableAnswer[[#This Row],[Discount on Total Revenue]])*RevenueTableAnswer[[#This Row],[Total Revenue]],2)</f>
        <v>1617.44</v>
      </c>
    </row>
    <row r="198" spans="1:7" x14ac:dyDescent="0.3">
      <c r="A198" s="101">
        <v>43040</v>
      </c>
      <c r="B198" s="96" t="s">
        <v>5</v>
      </c>
      <c r="C198" s="96">
        <v>175</v>
      </c>
      <c r="D198" s="59">
        <v>22.95</v>
      </c>
      <c r="E198" s="59">
        <v>4016.25</v>
      </c>
      <c r="F198" s="96">
        <f>VLOOKUP(RevenueTableAnswer[[#This Row],[Units Sold]],DiscountTableAnswer[],2)</f>
        <v>0.55000000000000004</v>
      </c>
      <c r="G198" s="96">
        <f>ROUND((1-RevenueTableAnswer[[#This Row],[Discount on Total Revenue]])*RevenueTableAnswer[[#This Row],[Total Revenue]],2)</f>
        <v>1807.31</v>
      </c>
    </row>
    <row r="199" spans="1:7" x14ac:dyDescent="0.3">
      <c r="A199" s="101">
        <v>43043</v>
      </c>
      <c r="B199" s="96" t="s">
        <v>7</v>
      </c>
      <c r="C199" s="96">
        <v>41</v>
      </c>
      <c r="D199" s="59">
        <v>43.95</v>
      </c>
      <c r="E199" s="59">
        <v>1801.95</v>
      </c>
      <c r="F199" s="96">
        <f>VLOOKUP(RevenueTableAnswer[[#This Row],[Units Sold]],DiscountTableAnswer[],2)</f>
        <v>0.25</v>
      </c>
      <c r="G199" s="96">
        <f>ROUND((1-RevenueTableAnswer[[#This Row],[Discount on Total Revenue]])*RevenueTableAnswer[[#This Row],[Total Revenue]],2)</f>
        <v>1351.46</v>
      </c>
    </row>
    <row r="200" spans="1:7" x14ac:dyDescent="0.3">
      <c r="A200" s="101">
        <v>43043</v>
      </c>
      <c r="B200" s="96" t="s">
        <v>13</v>
      </c>
      <c r="C200" s="96">
        <v>14</v>
      </c>
      <c r="D200" s="59">
        <v>14.95</v>
      </c>
      <c r="E200" s="59">
        <v>209.29999999999998</v>
      </c>
      <c r="F200" s="96">
        <f>VLOOKUP(RevenueTableAnswer[[#This Row],[Units Sold]],DiscountTableAnswer[],2)</f>
        <v>0.25</v>
      </c>
      <c r="G200" s="96">
        <f>ROUND((1-RevenueTableAnswer[[#This Row],[Discount on Total Revenue]])*RevenueTableAnswer[[#This Row],[Total Revenue]],2)</f>
        <v>156.97999999999999</v>
      </c>
    </row>
    <row r="201" spans="1:7" x14ac:dyDescent="0.3">
      <c r="A201" s="101">
        <v>43045</v>
      </c>
      <c r="B201" s="96" t="s">
        <v>5</v>
      </c>
      <c r="C201" s="96">
        <v>122</v>
      </c>
      <c r="D201" s="59">
        <v>22.95</v>
      </c>
      <c r="E201" s="59">
        <v>2799.9</v>
      </c>
      <c r="F201" s="96">
        <f>VLOOKUP(RevenueTableAnswer[[#This Row],[Units Sold]],DiscountTableAnswer[],2)</f>
        <v>0.4375</v>
      </c>
      <c r="G201" s="96">
        <f>ROUND((1-RevenueTableAnswer[[#This Row],[Discount on Total Revenue]])*RevenueTableAnswer[[#This Row],[Total Revenue]],2)</f>
        <v>1574.94</v>
      </c>
    </row>
    <row r="202" spans="1:7" x14ac:dyDescent="0.3">
      <c r="A202" s="101">
        <v>43041</v>
      </c>
      <c r="B202" s="96" t="s">
        <v>5</v>
      </c>
      <c r="C202" s="96">
        <v>48</v>
      </c>
      <c r="D202" s="59">
        <v>22.95</v>
      </c>
      <c r="E202" s="59">
        <v>1101.5999999999999</v>
      </c>
      <c r="F202" s="96">
        <f>VLOOKUP(RevenueTableAnswer[[#This Row],[Units Sold]],DiscountTableAnswer[],2)</f>
        <v>0.375</v>
      </c>
      <c r="G202" s="96">
        <f>ROUND((1-RevenueTableAnswer[[#This Row],[Discount on Total Revenue]])*RevenueTableAnswer[[#This Row],[Total Revenue]],2)</f>
        <v>688.5</v>
      </c>
    </row>
    <row r="203" spans="1:7" x14ac:dyDescent="0.3">
      <c r="A203" s="101">
        <v>43042</v>
      </c>
      <c r="B203" s="96" t="s">
        <v>8</v>
      </c>
      <c r="C203" s="96">
        <v>57</v>
      </c>
      <c r="D203" s="59">
        <v>21.95</v>
      </c>
      <c r="E203" s="59">
        <v>1251.1499999999999</v>
      </c>
      <c r="F203" s="96">
        <f>VLOOKUP(RevenueTableAnswer[[#This Row],[Units Sold]],DiscountTableAnswer[],2)</f>
        <v>0.375</v>
      </c>
      <c r="G203" s="96">
        <f>ROUND((1-RevenueTableAnswer[[#This Row],[Discount on Total Revenue]])*RevenueTableAnswer[[#This Row],[Total Revenue]],2)</f>
        <v>781.97</v>
      </c>
    </row>
    <row r="204" spans="1:7" x14ac:dyDescent="0.3">
      <c r="A204" s="101">
        <v>43047</v>
      </c>
      <c r="B204" s="96" t="s">
        <v>7</v>
      </c>
      <c r="C204" s="96">
        <v>113</v>
      </c>
      <c r="D204" s="59">
        <v>43.95</v>
      </c>
      <c r="E204" s="59">
        <v>4966.3500000000004</v>
      </c>
      <c r="F204" s="96">
        <f>VLOOKUP(RevenueTableAnswer[[#This Row],[Units Sold]],DiscountTableAnswer[],2)</f>
        <v>0.4375</v>
      </c>
      <c r="G204" s="96">
        <f>ROUND((1-RevenueTableAnswer[[#This Row],[Discount on Total Revenue]])*RevenueTableAnswer[[#This Row],[Total Revenue]],2)</f>
        <v>2793.57</v>
      </c>
    </row>
    <row r="205" spans="1:7" x14ac:dyDescent="0.3">
      <c r="A205" s="101">
        <v>43047</v>
      </c>
      <c r="B205" s="96" t="s">
        <v>8</v>
      </c>
      <c r="C205" s="96">
        <v>186</v>
      </c>
      <c r="D205" s="59">
        <v>21.95</v>
      </c>
      <c r="E205" s="59">
        <v>4082.7</v>
      </c>
      <c r="F205" s="96">
        <f>VLOOKUP(RevenueTableAnswer[[#This Row],[Units Sold]],DiscountTableAnswer[],2)</f>
        <v>0.55000000000000004</v>
      </c>
      <c r="G205" s="96">
        <f>ROUND((1-RevenueTableAnswer[[#This Row],[Discount on Total Revenue]])*RevenueTableAnswer[[#This Row],[Total Revenue]],2)</f>
        <v>1837.22</v>
      </c>
    </row>
    <row r="206" spans="1:7" x14ac:dyDescent="0.3">
      <c r="A206" s="101">
        <v>43043</v>
      </c>
      <c r="B206" s="96" t="s">
        <v>8</v>
      </c>
      <c r="C206" s="96">
        <v>102</v>
      </c>
      <c r="D206" s="59">
        <v>21.95</v>
      </c>
      <c r="E206" s="59">
        <v>2238.9</v>
      </c>
      <c r="F206" s="96">
        <f>VLOOKUP(RevenueTableAnswer[[#This Row],[Units Sold]],DiscountTableAnswer[],2)</f>
        <v>0.4375</v>
      </c>
      <c r="G206" s="96">
        <f>ROUND((1-RevenueTableAnswer[[#This Row],[Discount on Total Revenue]])*RevenueTableAnswer[[#This Row],[Total Revenue]],2)</f>
        <v>1259.3800000000001</v>
      </c>
    </row>
    <row r="207" spans="1:7" x14ac:dyDescent="0.3">
      <c r="A207" s="101">
        <v>43040</v>
      </c>
      <c r="B207" s="96" t="s">
        <v>5</v>
      </c>
      <c r="C207" s="96">
        <v>77</v>
      </c>
      <c r="D207" s="59">
        <v>22.95</v>
      </c>
      <c r="E207" s="59">
        <v>1767.1499999999999</v>
      </c>
      <c r="F207" s="96">
        <f>VLOOKUP(RevenueTableAnswer[[#This Row],[Units Sold]],DiscountTableAnswer[],2)</f>
        <v>0.375</v>
      </c>
      <c r="G207" s="96">
        <f>ROUND((1-RevenueTableAnswer[[#This Row],[Discount on Total Revenue]])*RevenueTableAnswer[[#This Row],[Total Revenue]],2)</f>
        <v>1104.47</v>
      </c>
    </row>
    <row r="208" spans="1:7" x14ac:dyDescent="0.3">
      <c r="A208" s="101">
        <v>43043</v>
      </c>
      <c r="B208" s="96" t="s">
        <v>5</v>
      </c>
      <c r="C208" s="96">
        <v>4</v>
      </c>
      <c r="D208" s="59">
        <v>22.95</v>
      </c>
      <c r="E208" s="59">
        <v>91.8</v>
      </c>
      <c r="F208" s="96">
        <f>VLOOKUP(RevenueTableAnswer[[#This Row],[Units Sold]],DiscountTableAnswer[],2)</f>
        <v>0</v>
      </c>
      <c r="G208" s="96">
        <f>ROUND((1-RevenueTableAnswer[[#This Row],[Discount on Total Revenue]])*RevenueTableAnswer[[#This Row],[Total Revenue]],2)</f>
        <v>91.8</v>
      </c>
    </row>
    <row r="209" spans="1:7" x14ac:dyDescent="0.3">
      <c r="A209" s="101">
        <v>43045</v>
      </c>
      <c r="B209" s="96" t="s">
        <v>13</v>
      </c>
      <c r="C209" s="96">
        <v>127</v>
      </c>
      <c r="D209" s="59">
        <v>14.95</v>
      </c>
      <c r="E209" s="59">
        <v>1898.6499999999999</v>
      </c>
      <c r="F209" s="96">
        <f>VLOOKUP(RevenueTableAnswer[[#This Row],[Units Sold]],DiscountTableAnswer[],2)</f>
        <v>0.4375</v>
      </c>
      <c r="G209" s="96">
        <f>ROUND((1-RevenueTableAnswer[[#This Row],[Discount on Total Revenue]])*RevenueTableAnswer[[#This Row],[Total Revenue]],2)</f>
        <v>1067.99</v>
      </c>
    </row>
    <row r="210" spans="1:7" x14ac:dyDescent="0.3">
      <c r="A210" s="101">
        <v>43047</v>
      </c>
      <c r="B210" s="96" t="s">
        <v>5</v>
      </c>
      <c r="C210" s="96">
        <v>172</v>
      </c>
      <c r="D210" s="59">
        <v>22.95</v>
      </c>
      <c r="E210" s="59">
        <v>3947.4</v>
      </c>
      <c r="F210" s="96">
        <f>VLOOKUP(RevenueTableAnswer[[#This Row],[Units Sold]],DiscountTableAnswer[],2)</f>
        <v>0.55000000000000004</v>
      </c>
      <c r="G210" s="96">
        <f>ROUND((1-RevenueTableAnswer[[#This Row],[Discount on Total Revenue]])*RevenueTableAnswer[[#This Row],[Total Revenue]],2)</f>
        <v>1776.33</v>
      </c>
    </row>
    <row r="211" spans="1:7" x14ac:dyDescent="0.3">
      <c r="A211" s="101">
        <v>43040</v>
      </c>
      <c r="B211" s="96" t="s">
        <v>8</v>
      </c>
      <c r="C211" s="96">
        <v>86</v>
      </c>
      <c r="D211" s="59">
        <v>21.95</v>
      </c>
      <c r="E211" s="59">
        <v>1887.7</v>
      </c>
      <c r="F211" s="96">
        <f>VLOOKUP(RevenueTableAnswer[[#This Row],[Units Sold]],DiscountTableAnswer[],2)</f>
        <v>0.375</v>
      </c>
      <c r="G211" s="96">
        <f>ROUND((1-RevenueTableAnswer[[#This Row],[Discount on Total Revenue]])*RevenueTableAnswer[[#This Row],[Total Revenue]],2)</f>
        <v>1179.81</v>
      </c>
    </row>
    <row r="212" spans="1:7" x14ac:dyDescent="0.3">
      <c r="A212" s="101">
        <v>43044</v>
      </c>
      <c r="B212" s="96" t="s">
        <v>13</v>
      </c>
      <c r="C212" s="96">
        <v>177</v>
      </c>
      <c r="D212" s="59">
        <v>14.95</v>
      </c>
      <c r="E212" s="59">
        <v>2646.15</v>
      </c>
      <c r="F212" s="96">
        <f>VLOOKUP(RevenueTableAnswer[[#This Row],[Units Sold]],DiscountTableAnswer[],2)</f>
        <v>0.55000000000000004</v>
      </c>
      <c r="G212" s="96">
        <f>ROUND((1-RevenueTableAnswer[[#This Row],[Discount on Total Revenue]])*RevenueTableAnswer[[#This Row],[Total Revenue]],2)</f>
        <v>1190.77</v>
      </c>
    </row>
    <row r="213" spans="1:7" x14ac:dyDescent="0.3">
      <c r="A213" s="101">
        <v>43041</v>
      </c>
      <c r="B213" s="96" t="s">
        <v>8</v>
      </c>
      <c r="C213" s="96">
        <v>103</v>
      </c>
      <c r="D213" s="59">
        <v>21.95</v>
      </c>
      <c r="E213" s="59">
        <v>2260.85</v>
      </c>
      <c r="F213" s="96">
        <f>VLOOKUP(RevenueTableAnswer[[#This Row],[Units Sold]],DiscountTableAnswer[],2)</f>
        <v>0.4375</v>
      </c>
      <c r="G213" s="96">
        <f>ROUND((1-RevenueTableAnswer[[#This Row],[Discount on Total Revenue]])*RevenueTableAnswer[[#This Row],[Total Revenue]],2)</f>
        <v>1271.73</v>
      </c>
    </row>
    <row r="214" spans="1:7" x14ac:dyDescent="0.3">
      <c r="A214" s="101">
        <v>43043</v>
      </c>
      <c r="B214" s="96" t="s">
        <v>13</v>
      </c>
      <c r="C214" s="96">
        <v>84</v>
      </c>
      <c r="D214" s="59">
        <v>14.95</v>
      </c>
      <c r="E214" s="59">
        <v>1255.8</v>
      </c>
      <c r="F214" s="96">
        <f>VLOOKUP(RevenueTableAnswer[[#This Row],[Units Sold]],DiscountTableAnswer[],2)</f>
        <v>0.375</v>
      </c>
      <c r="G214" s="96">
        <f>ROUND((1-RevenueTableAnswer[[#This Row],[Discount on Total Revenue]])*RevenueTableAnswer[[#This Row],[Total Revenue]],2)</f>
        <v>784.88</v>
      </c>
    </row>
    <row r="215" spans="1:7" x14ac:dyDescent="0.3">
      <c r="A215" s="101">
        <v>43044</v>
      </c>
      <c r="B215" s="96" t="s">
        <v>8</v>
      </c>
      <c r="C215" s="96">
        <v>118</v>
      </c>
      <c r="D215" s="59">
        <v>21.95</v>
      </c>
      <c r="E215" s="59">
        <v>2590.1</v>
      </c>
      <c r="F215" s="96">
        <f>VLOOKUP(RevenueTableAnswer[[#This Row],[Units Sold]],DiscountTableAnswer[],2)</f>
        <v>0.4375</v>
      </c>
      <c r="G215" s="96">
        <f>ROUND((1-RevenueTableAnswer[[#This Row],[Discount on Total Revenue]])*RevenueTableAnswer[[#This Row],[Total Revenue]],2)</f>
        <v>1456.93</v>
      </c>
    </row>
    <row r="216" spans="1:7" x14ac:dyDescent="0.3">
      <c r="A216" s="101">
        <v>43046</v>
      </c>
      <c r="B216" s="96" t="s">
        <v>5</v>
      </c>
      <c r="C216" s="96">
        <v>66</v>
      </c>
      <c r="D216" s="59">
        <v>22.95</v>
      </c>
      <c r="E216" s="59">
        <v>1514.7</v>
      </c>
      <c r="F216" s="96">
        <f>VLOOKUP(RevenueTableAnswer[[#This Row],[Units Sold]],DiscountTableAnswer[],2)</f>
        <v>0.375</v>
      </c>
      <c r="G216" s="96">
        <f>ROUND((1-RevenueTableAnswer[[#This Row],[Discount on Total Revenue]])*RevenueTableAnswer[[#This Row],[Total Revenue]],2)</f>
        <v>946.69</v>
      </c>
    </row>
    <row r="217" spans="1:7" x14ac:dyDescent="0.3">
      <c r="A217" s="101">
        <v>43042</v>
      </c>
      <c r="B217" s="96" t="s">
        <v>8</v>
      </c>
      <c r="C217" s="96">
        <v>168</v>
      </c>
      <c r="D217" s="59">
        <v>21.95</v>
      </c>
      <c r="E217" s="59">
        <v>3687.6</v>
      </c>
      <c r="F217" s="96">
        <f>VLOOKUP(RevenueTableAnswer[[#This Row],[Units Sold]],DiscountTableAnswer[],2)</f>
        <v>0.55000000000000004</v>
      </c>
      <c r="G217" s="96">
        <f>ROUND((1-RevenueTableAnswer[[#This Row],[Discount on Total Revenue]])*RevenueTableAnswer[[#This Row],[Total Revenue]],2)</f>
        <v>1659.42</v>
      </c>
    </row>
    <row r="218" spans="1:7" x14ac:dyDescent="0.3">
      <c r="A218" s="101">
        <v>43043</v>
      </c>
      <c r="B218" s="96" t="s">
        <v>13</v>
      </c>
      <c r="C218" s="96">
        <v>155</v>
      </c>
      <c r="D218" s="59">
        <v>14.95</v>
      </c>
      <c r="E218" s="59">
        <v>2317.25</v>
      </c>
      <c r="F218" s="96">
        <f>VLOOKUP(RevenueTableAnswer[[#This Row],[Units Sold]],DiscountTableAnswer[],2)</f>
        <v>0.5</v>
      </c>
      <c r="G218" s="96">
        <f>ROUND((1-RevenueTableAnswer[[#This Row],[Discount on Total Revenue]])*RevenueTableAnswer[[#This Row],[Total Revenue]],2)</f>
        <v>1158.6300000000001</v>
      </c>
    </row>
    <row r="219" spans="1:7" x14ac:dyDescent="0.3">
      <c r="A219" s="101">
        <v>43045</v>
      </c>
      <c r="B219" s="96" t="s">
        <v>13</v>
      </c>
      <c r="C219" s="96">
        <v>145</v>
      </c>
      <c r="D219" s="59">
        <v>14.95</v>
      </c>
      <c r="E219" s="59">
        <v>2167.75</v>
      </c>
      <c r="F219" s="96">
        <f>VLOOKUP(RevenueTableAnswer[[#This Row],[Units Sold]],DiscountTableAnswer[],2)</f>
        <v>0.5</v>
      </c>
      <c r="G219" s="96">
        <f>ROUND((1-RevenueTableAnswer[[#This Row],[Discount on Total Revenue]])*RevenueTableAnswer[[#This Row],[Total Revenue]],2)</f>
        <v>1083.8800000000001</v>
      </c>
    </row>
    <row r="220" spans="1:7" x14ac:dyDescent="0.3">
      <c r="A220" s="101">
        <v>43040</v>
      </c>
      <c r="B220" s="96" t="s">
        <v>13</v>
      </c>
      <c r="C220" s="96">
        <v>98</v>
      </c>
      <c r="D220" s="59">
        <v>14.95</v>
      </c>
      <c r="E220" s="59">
        <v>1465.1</v>
      </c>
      <c r="F220" s="96">
        <f>VLOOKUP(RevenueTableAnswer[[#This Row],[Units Sold]],DiscountTableAnswer[],2)</f>
        <v>0.4375</v>
      </c>
      <c r="G220" s="96">
        <f>ROUND((1-RevenueTableAnswer[[#This Row],[Discount on Total Revenue]])*RevenueTableAnswer[[#This Row],[Total Revenue]],2)</f>
        <v>824.12</v>
      </c>
    </row>
    <row r="221" spans="1:7" x14ac:dyDescent="0.3">
      <c r="A221" s="101">
        <v>43045</v>
      </c>
      <c r="B221" s="96" t="s">
        <v>13</v>
      </c>
      <c r="C221" s="96">
        <v>46</v>
      </c>
      <c r="D221" s="59">
        <v>14.95</v>
      </c>
      <c r="E221" s="59">
        <v>687.69999999999993</v>
      </c>
      <c r="F221" s="96">
        <f>VLOOKUP(RevenueTableAnswer[[#This Row],[Units Sold]],DiscountTableAnswer[],2)</f>
        <v>0.25</v>
      </c>
      <c r="G221" s="96">
        <f>ROUND((1-RevenueTableAnswer[[#This Row],[Discount on Total Revenue]])*RevenueTableAnswer[[#This Row],[Total Revenue]],2)</f>
        <v>515.78</v>
      </c>
    </row>
    <row r="222" spans="1:7" x14ac:dyDescent="0.3">
      <c r="A222" s="101">
        <v>43040</v>
      </c>
      <c r="B222" s="96" t="s">
        <v>7</v>
      </c>
      <c r="C222" s="96">
        <v>42</v>
      </c>
      <c r="D222" s="59">
        <v>43.95</v>
      </c>
      <c r="E222" s="59">
        <v>1845.9</v>
      </c>
      <c r="F222" s="96">
        <f>VLOOKUP(RevenueTableAnswer[[#This Row],[Units Sold]],DiscountTableAnswer[],2)</f>
        <v>0.25</v>
      </c>
      <c r="G222" s="96">
        <f>ROUND((1-RevenueTableAnswer[[#This Row],[Discount on Total Revenue]])*RevenueTableAnswer[[#This Row],[Total Revenue]],2)</f>
        <v>1384.43</v>
      </c>
    </row>
    <row r="223" spans="1:7" x14ac:dyDescent="0.3">
      <c r="A223" s="101">
        <v>43047</v>
      </c>
      <c r="B223" s="96" t="s">
        <v>13</v>
      </c>
      <c r="C223" s="96">
        <v>156</v>
      </c>
      <c r="D223" s="59">
        <v>14.95</v>
      </c>
      <c r="E223" s="59">
        <v>2332.1999999999998</v>
      </c>
      <c r="F223" s="96">
        <f>VLOOKUP(RevenueTableAnswer[[#This Row],[Units Sold]],DiscountTableAnswer[],2)</f>
        <v>0.5</v>
      </c>
      <c r="G223" s="96">
        <f>ROUND((1-RevenueTableAnswer[[#This Row],[Discount on Total Revenue]])*RevenueTableAnswer[[#This Row],[Total Revenue]],2)</f>
        <v>1166.0999999999999</v>
      </c>
    </row>
    <row r="224" spans="1:7" x14ac:dyDescent="0.3">
      <c r="A224" s="101">
        <v>43040</v>
      </c>
      <c r="B224" s="96" t="s">
        <v>8</v>
      </c>
      <c r="C224" s="96">
        <v>20</v>
      </c>
      <c r="D224" s="59">
        <v>21.95</v>
      </c>
      <c r="E224" s="59">
        <v>439</v>
      </c>
      <c r="F224" s="96">
        <f>VLOOKUP(RevenueTableAnswer[[#This Row],[Units Sold]],DiscountTableAnswer[],2)</f>
        <v>0.25</v>
      </c>
      <c r="G224" s="96">
        <f>ROUND((1-RevenueTableAnswer[[#This Row],[Discount on Total Revenue]])*RevenueTableAnswer[[#This Row],[Total Revenue]],2)</f>
        <v>329.25</v>
      </c>
    </row>
    <row r="225" spans="1:7" x14ac:dyDescent="0.3">
      <c r="A225" s="101">
        <v>43045</v>
      </c>
      <c r="B225" s="96" t="s">
        <v>13</v>
      </c>
      <c r="C225" s="96">
        <v>75</v>
      </c>
      <c r="D225" s="59">
        <v>14.95</v>
      </c>
      <c r="E225" s="59">
        <v>1121.25</v>
      </c>
      <c r="F225" s="96">
        <f>VLOOKUP(RevenueTableAnswer[[#This Row],[Units Sold]],DiscountTableAnswer[],2)</f>
        <v>0.375</v>
      </c>
      <c r="G225" s="96">
        <f>ROUND((1-RevenueTableAnswer[[#This Row],[Discount on Total Revenue]])*RevenueTableAnswer[[#This Row],[Total Revenue]],2)</f>
        <v>700.78</v>
      </c>
    </row>
    <row r="226" spans="1:7" x14ac:dyDescent="0.3">
      <c r="A226" s="101">
        <v>43042</v>
      </c>
      <c r="B226" s="96" t="s">
        <v>13</v>
      </c>
      <c r="C226" s="96">
        <v>108</v>
      </c>
      <c r="D226" s="59">
        <v>14.95</v>
      </c>
      <c r="E226" s="59">
        <v>1614.6</v>
      </c>
      <c r="F226" s="96">
        <f>VLOOKUP(RevenueTableAnswer[[#This Row],[Units Sold]],DiscountTableAnswer[],2)</f>
        <v>0.4375</v>
      </c>
      <c r="G226" s="96">
        <f>ROUND((1-RevenueTableAnswer[[#This Row],[Discount on Total Revenue]])*RevenueTableAnswer[[#This Row],[Total Revenue]],2)</f>
        <v>908.21</v>
      </c>
    </row>
    <row r="227" spans="1:7" x14ac:dyDescent="0.3">
      <c r="A227" s="101">
        <v>43043</v>
      </c>
      <c r="B227" s="96" t="s">
        <v>5</v>
      </c>
      <c r="C227" s="96">
        <v>129</v>
      </c>
      <c r="D227" s="59">
        <v>22.95</v>
      </c>
      <c r="E227" s="59">
        <v>2960.5499999999997</v>
      </c>
      <c r="F227" s="96">
        <f>VLOOKUP(RevenueTableAnswer[[#This Row],[Units Sold]],DiscountTableAnswer[],2)</f>
        <v>0.4375</v>
      </c>
      <c r="G227" s="96">
        <f>ROUND((1-RevenueTableAnswer[[#This Row],[Discount on Total Revenue]])*RevenueTableAnswer[[#This Row],[Total Revenue]],2)</f>
        <v>1665.31</v>
      </c>
    </row>
    <row r="228" spans="1:7" x14ac:dyDescent="0.3">
      <c r="A228" s="101">
        <v>43044</v>
      </c>
      <c r="B228" s="96" t="s">
        <v>7</v>
      </c>
      <c r="C228" s="96">
        <v>113</v>
      </c>
      <c r="D228" s="59">
        <v>43.95</v>
      </c>
      <c r="E228" s="59">
        <v>4966.3500000000004</v>
      </c>
      <c r="F228" s="96">
        <f>VLOOKUP(RevenueTableAnswer[[#This Row],[Units Sold]],DiscountTableAnswer[],2)</f>
        <v>0.4375</v>
      </c>
      <c r="G228" s="96">
        <f>ROUND((1-RevenueTableAnswer[[#This Row],[Discount on Total Revenue]])*RevenueTableAnswer[[#This Row],[Total Revenue]],2)</f>
        <v>2793.57</v>
      </c>
    </row>
    <row r="229" spans="1:7" x14ac:dyDescent="0.3">
      <c r="A229" s="101">
        <v>43040</v>
      </c>
      <c r="B229" s="96" t="s">
        <v>5</v>
      </c>
      <c r="C229" s="96">
        <v>118</v>
      </c>
      <c r="D229" s="59">
        <v>22.95</v>
      </c>
      <c r="E229" s="59">
        <v>2708.1</v>
      </c>
      <c r="F229" s="96">
        <f>VLOOKUP(RevenueTableAnswer[[#This Row],[Units Sold]],DiscountTableAnswer[],2)</f>
        <v>0.4375</v>
      </c>
      <c r="G229" s="96">
        <f>ROUND((1-RevenueTableAnswer[[#This Row],[Discount on Total Revenue]])*RevenueTableAnswer[[#This Row],[Total Revenue]],2)</f>
        <v>1523.31</v>
      </c>
    </row>
    <row r="230" spans="1:7" x14ac:dyDescent="0.3">
      <c r="A230" s="101">
        <v>43041</v>
      </c>
      <c r="B230" s="96" t="s">
        <v>7</v>
      </c>
      <c r="C230" s="96">
        <v>46</v>
      </c>
      <c r="D230" s="59">
        <v>43.95</v>
      </c>
      <c r="E230" s="59">
        <v>2021.7</v>
      </c>
      <c r="F230" s="96">
        <f>VLOOKUP(RevenueTableAnswer[[#This Row],[Units Sold]],DiscountTableAnswer[],2)</f>
        <v>0.25</v>
      </c>
      <c r="G230" s="96">
        <f>ROUND((1-RevenueTableAnswer[[#This Row],[Discount on Total Revenue]])*RevenueTableAnswer[[#This Row],[Total Revenue]],2)</f>
        <v>1516.28</v>
      </c>
    </row>
    <row r="231" spans="1:7" x14ac:dyDescent="0.3">
      <c r="A231" s="101">
        <v>43043</v>
      </c>
      <c r="B231" s="96" t="s">
        <v>13</v>
      </c>
      <c r="C231" s="96">
        <v>72</v>
      </c>
      <c r="D231" s="59">
        <v>14.95</v>
      </c>
      <c r="E231" s="59">
        <v>1076.3999999999999</v>
      </c>
      <c r="F231" s="96">
        <f>VLOOKUP(RevenueTableAnswer[[#This Row],[Units Sold]],DiscountTableAnswer[],2)</f>
        <v>0.375</v>
      </c>
      <c r="G231" s="96">
        <f>ROUND((1-RevenueTableAnswer[[#This Row],[Discount on Total Revenue]])*RevenueTableAnswer[[#This Row],[Total Revenue]],2)</f>
        <v>672.75</v>
      </c>
    </row>
    <row r="232" spans="1:7" x14ac:dyDescent="0.3">
      <c r="A232" s="101">
        <v>43046</v>
      </c>
      <c r="B232" s="96" t="s">
        <v>13</v>
      </c>
      <c r="C232" s="96">
        <v>96</v>
      </c>
      <c r="D232" s="59">
        <v>14.95</v>
      </c>
      <c r="E232" s="59">
        <v>1435.1999999999998</v>
      </c>
      <c r="F232" s="96">
        <f>VLOOKUP(RevenueTableAnswer[[#This Row],[Units Sold]],DiscountTableAnswer[],2)</f>
        <v>0.4375</v>
      </c>
      <c r="G232" s="96">
        <f>ROUND((1-RevenueTableAnswer[[#This Row],[Discount on Total Revenue]])*RevenueTableAnswer[[#This Row],[Total Revenue]],2)</f>
        <v>807.3</v>
      </c>
    </row>
    <row r="233" spans="1:7" x14ac:dyDescent="0.3">
      <c r="A233" s="101">
        <v>43042</v>
      </c>
      <c r="B233" s="96" t="s">
        <v>13</v>
      </c>
      <c r="C233" s="96">
        <v>69</v>
      </c>
      <c r="D233" s="59">
        <v>14.95</v>
      </c>
      <c r="E233" s="59">
        <v>1031.55</v>
      </c>
      <c r="F233" s="96">
        <f>VLOOKUP(RevenueTableAnswer[[#This Row],[Units Sold]],DiscountTableAnswer[],2)</f>
        <v>0.375</v>
      </c>
      <c r="G233" s="96">
        <f>ROUND((1-RevenueTableAnswer[[#This Row],[Discount on Total Revenue]])*RevenueTableAnswer[[#This Row],[Total Revenue]],2)</f>
        <v>644.72</v>
      </c>
    </row>
    <row r="234" spans="1:7" x14ac:dyDescent="0.3">
      <c r="A234" s="101">
        <v>43042</v>
      </c>
      <c r="B234" s="96" t="s">
        <v>5</v>
      </c>
      <c r="C234" s="96">
        <v>149</v>
      </c>
      <c r="D234" s="59">
        <v>22.95</v>
      </c>
      <c r="E234" s="59">
        <v>3419.5499999999997</v>
      </c>
      <c r="F234" s="96">
        <f>VLOOKUP(RevenueTableAnswer[[#This Row],[Units Sold]],DiscountTableAnswer[],2)</f>
        <v>0.5</v>
      </c>
      <c r="G234" s="96">
        <f>ROUND((1-RevenueTableAnswer[[#This Row],[Discount on Total Revenue]])*RevenueTableAnswer[[#This Row],[Total Revenue]],2)</f>
        <v>1709.78</v>
      </c>
    </row>
    <row r="235" spans="1:7" x14ac:dyDescent="0.3">
      <c r="A235" s="101">
        <v>43040</v>
      </c>
      <c r="B235" s="96" t="s">
        <v>5</v>
      </c>
      <c r="C235" s="96">
        <v>38</v>
      </c>
      <c r="D235" s="59">
        <v>22.95</v>
      </c>
      <c r="E235" s="59">
        <v>872.1</v>
      </c>
      <c r="F235" s="96">
        <f>VLOOKUP(RevenueTableAnswer[[#This Row],[Units Sold]],DiscountTableAnswer[],2)</f>
        <v>0.25</v>
      </c>
      <c r="G235" s="96">
        <f>ROUND((1-RevenueTableAnswer[[#This Row],[Discount on Total Revenue]])*RevenueTableAnswer[[#This Row],[Total Revenue]],2)</f>
        <v>654.08000000000004</v>
      </c>
    </row>
    <row r="236" spans="1:7" x14ac:dyDescent="0.3">
      <c r="A236" s="101">
        <v>43042</v>
      </c>
      <c r="B236" s="96" t="s">
        <v>7</v>
      </c>
      <c r="C236" s="96">
        <v>161</v>
      </c>
      <c r="D236" s="59">
        <v>43.95</v>
      </c>
      <c r="E236" s="59">
        <v>7075.9500000000007</v>
      </c>
      <c r="F236" s="96">
        <f>VLOOKUP(RevenueTableAnswer[[#This Row],[Units Sold]],DiscountTableAnswer[],2)</f>
        <v>0.5</v>
      </c>
      <c r="G236" s="96">
        <f>ROUND((1-RevenueTableAnswer[[#This Row],[Discount on Total Revenue]])*RevenueTableAnswer[[#This Row],[Total Revenue]],2)</f>
        <v>3537.98</v>
      </c>
    </row>
    <row r="237" spans="1:7" x14ac:dyDescent="0.3">
      <c r="A237" s="101">
        <v>43043</v>
      </c>
      <c r="B237" s="96" t="s">
        <v>13</v>
      </c>
      <c r="C237" s="96">
        <v>157</v>
      </c>
      <c r="D237" s="59">
        <v>14.95</v>
      </c>
      <c r="E237" s="59">
        <v>2347.15</v>
      </c>
      <c r="F237" s="96">
        <f>VLOOKUP(RevenueTableAnswer[[#This Row],[Units Sold]],DiscountTableAnswer[],2)</f>
        <v>0.5</v>
      </c>
      <c r="G237" s="96">
        <f>ROUND((1-RevenueTableAnswer[[#This Row],[Discount on Total Revenue]])*RevenueTableAnswer[[#This Row],[Total Revenue]],2)</f>
        <v>1173.58</v>
      </c>
    </row>
    <row r="238" spans="1:7" x14ac:dyDescent="0.3">
      <c r="A238" s="101">
        <v>43040</v>
      </c>
      <c r="B238" s="96" t="s">
        <v>7</v>
      </c>
      <c r="C238" s="96">
        <v>86</v>
      </c>
      <c r="D238" s="59">
        <v>43.95</v>
      </c>
      <c r="E238" s="59">
        <v>3779.7000000000003</v>
      </c>
      <c r="F238" s="96">
        <f>VLOOKUP(RevenueTableAnswer[[#This Row],[Units Sold]],DiscountTableAnswer[],2)</f>
        <v>0.375</v>
      </c>
      <c r="G238" s="96">
        <f>ROUND((1-RevenueTableAnswer[[#This Row],[Discount on Total Revenue]])*RevenueTableAnswer[[#This Row],[Total Revenue]],2)</f>
        <v>2362.31</v>
      </c>
    </row>
    <row r="239" spans="1:7" x14ac:dyDescent="0.3">
      <c r="A239" s="101">
        <v>43042</v>
      </c>
      <c r="B239" s="96" t="s">
        <v>5</v>
      </c>
      <c r="C239" s="96">
        <v>78</v>
      </c>
      <c r="D239" s="59">
        <v>22.95</v>
      </c>
      <c r="E239" s="59">
        <v>1790.1</v>
      </c>
      <c r="F239" s="96">
        <f>VLOOKUP(RevenueTableAnswer[[#This Row],[Units Sold]],DiscountTableAnswer[],2)</f>
        <v>0.375</v>
      </c>
      <c r="G239" s="96">
        <f>ROUND((1-RevenueTableAnswer[[#This Row],[Discount on Total Revenue]])*RevenueTableAnswer[[#This Row],[Total Revenue]],2)</f>
        <v>1118.81</v>
      </c>
    </row>
    <row r="240" spans="1:7" x14ac:dyDescent="0.3">
      <c r="A240" s="101">
        <v>43040</v>
      </c>
      <c r="B240" s="96" t="s">
        <v>13</v>
      </c>
      <c r="C240" s="96">
        <v>125</v>
      </c>
      <c r="D240" s="59">
        <v>14.95</v>
      </c>
      <c r="E240" s="59">
        <v>1868.75</v>
      </c>
      <c r="F240" s="96">
        <f>VLOOKUP(RevenueTableAnswer[[#This Row],[Units Sold]],DiscountTableAnswer[],2)</f>
        <v>0.4375</v>
      </c>
      <c r="G240" s="96">
        <f>ROUND((1-RevenueTableAnswer[[#This Row],[Discount on Total Revenue]])*RevenueTableAnswer[[#This Row],[Total Revenue]],2)</f>
        <v>1051.17</v>
      </c>
    </row>
    <row r="241" spans="1:7" x14ac:dyDescent="0.3">
      <c r="A241" s="101">
        <v>43045</v>
      </c>
      <c r="B241" s="96" t="s">
        <v>13</v>
      </c>
      <c r="C241" s="96">
        <v>48</v>
      </c>
      <c r="D241" s="59">
        <v>14.95</v>
      </c>
      <c r="E241" s="59">
        <v>717.59999999999991</v>
      </c>
      <c r="F241" s="96">
        <f>VLOOKUP(RevenueTableAnswer[[#This Row],[Units Sold]],DiscountTableAnswer[],2)</f>
        <v>0.375</v>
      </c>
      <c r="G241" s="96">
        <f>ROUND((1-RevenueTableAnswer[[#This Row],[Discount on Total Revenue]])*RevenueTableAnswer[[#This Row],[Total Revenue]],2)</f>
        <v>448.5</v>
      </c>
    </row>
    <row r="242" spans="1:7" x14ac:dyDescent="0.3">
      <c r="A242" s="101">
        <v>43047</v>
      </c>
      <c r="B242" s="96" t="s">
        <v>5</v>
      </c>
      <c r="C242" s="96">
        <v>71</v>
      </c>
      <c r="D242" s="59">
        <v>22.95</v>
      </c>
      <c r="E242" s="59">
        <v>1629.45</v>
      </c>
      <c r="F242" s="96">
        <f>VLOOKUP(RevenueTableAnswer[[#This Row],[Units Sold]],DiscountTableAnswer[],2)</f>
        <v>0.375</v>
      </c>
      <c r="G242" s="96">
        <f>ROUND((1-RevenueTableAnswer[[#This Row],[Discount on Total Revenue]])*RevenueTableAnswer[[#This Row],[Total Revenue]],2)</f>
        <v>1018.41</v>
      </c>
    </row>
    <row r="243" spans="1:7" x14ac:dyDescent="0.3">
      <c r="A243" s="101">
        <v>43043</v>
      </c>
      <c r="B243" s="96" t="s">
        <v>13</v>
      </c>
      <c r="C243" s="96">
        <v>32</v>
      </c>
      <c r="D243" s="59">
        <v>14.95</v>
      </c>
      <c r="E243" s="59">
        <v>478.4</v>
      </c>
      <c r="F243" s="96">
        <f>VLOOKUP(RevenueTableAnswer[[#This Row],[Units Sold]],DiscountTableAnswer[],2)</f>
        <v>0.25</v>
      </c>
      <c r="G243" s="96">
        <f>ROUND((1-RevenueTableAnswer[[#This Row],[Discount on Total Revenue]])*RevenueTableAnswer[[#This Row],[Total Revenue]],2)</f>
        <v>358.8</v>
      </c>
    </row>
    <row r="244" spans="1:7" x14ac:dyDescent="0.3">
      <c r="A244" s="101">
        <v>43045</v>
      </c>
      <c r="B244" s="96" t="s">
        <v>8</v>
      </c>
      <c r="C244" s="96">
        <v>161</v>
      </c>
      <c r="D244" s="59">
        <v>21.95</v>
      </c>
      <c r="E244" s="59">
        <v>3533.95</v>
      </c>
      <c r="F244" s="96">
        <f>VLOOKUP(RevenueTableAnswer[[#This Row],[Units Sold]],DiscountTableAnswer[],2)</f>
        <v>0.5</v>
      </c>
      <c r="G244" s="96">
        <f>ROUND((1-RevenueTableAnswer[[#This Row],[Discount on Total Revenue]])*RevenueTableAnswer[[#This Row],[Total Revenue]],2)</f>
        <v>1766.98</v>
      </c>
    </row>
    <row r="245" spans="1:7" x14ac:dyDescent="0.3">
      <c r="A245" s="101">
        <v>43047</v>
      </c>
      <c r="B245" s="96" t="s">
        <v>13</v>
      </c>
      <c r="C245" s="96">
        <v>65</v>
      </c>
      <c r="D245" s="59">
        <v>14.95</v>
      </c>
      <c r="E245" s="59">
        <v>971.75</v>
      </c>
      <c r="F245" s="96">
        <f>VLOOKUP(RevenueTableAnswer[[#This Row],[Units Sold]],DiscountTableAnswer[],2)</f>
        <v>0.375</v>
      </c>
      <c r="G245" s="96">
        <f>ROUND((1-RevenueTableAnswer[[#This Row],[Discount on Total Revenue]])*RevenueTableAnswer[[#This Row],[Total Revenue]],2)</f>
        <v>607.34</v>
      </c>
    </row>
    <row r="246" spans="1:7" x14ac:dyDescent="0.3">
      <c r="A246" s="101">
        <v>43040</v>
      </c>
      <c r="B246" s="96" t="s">
        <v>7</v>
      </c>
      <c r="C246" s="96">
        <v>189</v>
      </c>
      <c r="D246" s="59">
        <v>43.95</v>
      </c>
      <c r="E246" s="59">
        <v>8306.5500000000011</v>
      </c>
      <c r="F246" s="96">
        <f>VLOOKUP(RevenueTableAnswer[[#This Row],[Units Sold]],DiscountTableAnswer[],2)</f>
        <v>0.55000000000000004</v>
      </c>
      <c r="G246" s="96">
        <f>ROUND((1-RevenueTableAnswer[[#This Row],[Discount on Total Revenue]])*RevenueTableAnswer[[#This Row],[Total Revenue]],2)</f>
        <v>3737.95</v>
      </c>
    </row>
    <row r="247" spans="1:7" x14ac:dyDescent="0.3">
      <c r="A247" s="101">
        <v>43045</v>
      </c>
      <c r="B247" s="96" t="s">
        <v>5</v>
      </c>
      <c r="C247" s="96">
        <v>181</v>
      </c>
      <c r="D247" s="59">
        <v>22.95</v>
      </c>
      <c r="E247" s="59">
        <v>4153.95</v>
      </c>
      <c r="F247" s="96">
        <f>VLOOKUP(RevenueTableAnswer[[#This Row],[Units Sold]],DiscountTableAnswer[],2)</f>
        <v>0.55000000000000004</v>
      </c>
      <c r="G247" s="96">
        <f>ROUND((1-RevenueTableAnswer[[#This Row],[Discount on Total Revenue]])*RevenueTableAnswer[[#This Row],[Total Revenue]],2)</f>
        <v>1869.28</v>
      </c>
    </row>
    <row r="248" spans="1:7" x14ac:dyDescent="0.3">
      <c r="A248" s="101">
        <v>43044</v>
      </c>
      <c r="B248" s="96" t="s">
        <v>13</v>
      </c>
      <c r="C248" s="96">
        <v>48</v>
      </c>
      <c r="D248" s="59">
        <v>14.95</v>
      </c>
      <c r="E248" s="59">
        <v>717.59999999999991</v>
      </c>
      <c r="F248" s="96">
        <f>VLOOKUP(RevenueTableAnswer[[#This Row],[Units Sold]],DiscountTableAnswer[],2)</f>
        <v>0.375</v>
      </c>
      <c r="G248" s="96">
        <f>ROUND((1-RevenueTableAnswer[[#This Row],[Discount on Total Revenue]])*RevenueTableAnswer[[#This Row],[Total Revenue]],2)</f>
        <v>448.5</v>
      </c>
    </row>
    <row r="249" spans="1:7" x14ac:dyDescent="0.3">
      <c r="A249" s="101">
        <v>43044</v>
      </c>
      <c r="B249" s="96" t="s">
        <v>13</v>
      </c>
      <c r="C249" s="96">
        <v>132</v>
      </c>
      <c r="D249" s="59">
        <v>14.95</v>
      </c>
      <c r="E249" s="59">
        <v>1973.3999999999999</v>
      </c>
      <c r="F249" s="96">
        <f>VLOOKUP(RevenueTableAnswer[[#This Row],[Units Sold]],DiscountTableAnswer[],2)</f>
        <v>0.4375</v>
      </c>
      <c r="G249" s="96">
        <f>ROUND((1-RevenueTableAnswer[[#This Row],[Discount on Total Revenue]])*RevenueTableAnswer[[#This Row],[Total Revenue]],2)</f>
        <v>1110.04</v>
      </c>
    </row>
    <row r="250" spans="1:7" x14ac:dyDescent="0.3">
      <c r="A250" s="101">
        <v>43045</v>
      </c>
      <c r="B250" s="96" t="s">
        <v>5</v>
      </c>
      <c r="C250" s="96">
        <v>54</v>
      </c>
      <c r="D250" s="59">
        <v>22.95</v>
      </c>
      <c r="E250" s="59">
        <v>1239.3</v>
      </c>
      <c r="F250" s="96">
        <f>VLOOKUP(RevenueTableAnswer[[#This Row],[Units Sold]],DiscountTableAnswer[],2)</f>
        <v>0.375</v>
      </c>
      <c r="G250" s="96">
        <f>ROUND((1-RevenueTableAnswer[[#This Row],[Discount on Total Revenue]])*RevenueTableAnswer[[#This Row],[Total Revenue]],2)</f>
        <v>774.56</v>
      </c>
    </row>
    <row r="251" spans="1:7" x14ac:dyDescent="0.3">
      <c r="A251" s="101">
        <v>43044</v>
      </c>
      <c r="B251" s="96" t="s">
        <v>5</v>
      </c>
      <c r="C251" s="96">
        <v>103</v>
      </c>
      <c r="D251" s="59">
        <v>22.95</v>
      </c>
      <c r="E251" s="59">
        <v>2363.85</v>
      </c>
      <c r="F251" s="96">
        <f>VLOOKUP(RevenueTableAnswer[[#This Row],[Units Sold]],DiscountTableAnswer[],2)</f>
        <v>0.4375</v>
      </c>
      <c r="G251" s="96">
        <f>ROUND((1-RevenueTableAnswer[[#This Row],[Discount on Total Revenue]])*RevenueTableAnswer[[#This Row],[Total Revenue]],2)</f>
        <v>1329.67</v>
      </c>
    </row>
    <row r="252" spans="1:7" x14ac:dyDescent="0.3">
      <c r="A252" s="101">
        <v>43043</v>
      </c>
      <c r="B252" s="96" t="s">
        <v>8</v>
      </c>
      <c r="C252" s="96">
        <v>129</v>
      </c>
      <c r="D252" s="59">
        <v>21.95</v>
      </c>
      <c r="E252" s="59">
        <v>2831.5499999999997</v>
      </c>
      <c r="F252" s="96">
        <f>VLOOKUP(RevenueTableAnswer[[#This Row],[Units Sold]],DiscountTableAnswer[],2)</f>
        <v>0.4375</v>
      </c>
      <c r="G252" s="96">
        <f>ROUND((1-RevenueTableAnswer[[#This Row],[Discount on Total Revenue]])*RevenueTableAnswer[[#This Row],[Total Revenue]],2)</f>
        <v>1592.75</v>
      </c>
    </row>
    <row r="253" spans="1:7" x14ac:dyDescent="0.3">
      <c r="A253" s="101">
        <v>43042</v>
      </c>
      <c r="B253" s="96" t="s">
        <v>5</v>
      </c>
      <c r="C253" s="96">
        <v>104</v>
      </c>
      <c r="D253" s="59">
        <v>22.95</v>
      </c>
      <c r="E253" s="59">
        <v>2386.7999999999997</v>
      </c>
      <c r="F253" s="96">
        <f>VLOOKUP(RevenueTableAnswer[[#This Row],[Units Sold]],DiscountTableAnswer[],2)</f>
        <v>0.4375</v>
      </c>
      <c r="G253" s="96">
        <f>ROUND((1-RevenueTableAnswer[[#This Row],[Discount on Total Revenue]])*RevenueTableAnswer[[#This Row],[Total Revenue]],2)</f>
        <v>1342.58</v>
      </c>
    </row>
    <row r="254" spans="1:7" x14ac:dyDescent="0.3">
      <c r="A254" s="101">
        <v>43047</v>
      </c>
      <c r="B254" s="96" t="s">
        <v>8</v>
      </c>
      <c r="C254" s="96">
        <v>121</v>
      </c>
      <c r="D254" s="59">
        <v>21.95</v>
      </c>
      <c r="E254" s="59">
        <v>2655.95</v>
      </c>
      <c r="F254" s="96">
        <f>VLOOKUP(RevenueTableAnswer[[#This Row],[Units Sold]],DiscountTableAnswer[],2)</f>
        <v>0.4375</v>
      </c>
      <c r="G254" s="96">
        <f>ROUND((1-RevenueTableAnswer[[#This Row],[Discount on Total Revenue]])*RevenueTableAnswer[[#This Row],[Total Revenue]],2)</f>
        <v>1493.97</v>
      </c>
    </row>
    <row r="255" spans="1:7" x14ac:dyDescent="0.3">
      <c r="A255" s="101">
        <v>43043</v>
      </c>
      <c r="B255" s="96" t="s">
        <v>13</v>
      </c>
      <c r="C255" s="96">
        <v>148</v>
      </c>
      <c r="D255" s="59">
        <v>14.95</v>
      </c>
      <c r="E255" s="59">
        <v>2212.6</v>
      </c>
      <c r="F255" s="96">
        <f>VLOOKUP(RevenueTableAnswer[[#This Row],[Units Sold]],DiscountTableAnswer[],2)</f>
        <v>0.5</v>
      </c>
      <c r="G255" s="96">
        <f>ROUND((1-RevenueTableAnswer[[#This Row],[Discount on Total Revenue]])*RevenueTableAnswer[[#This Row],[Total Revenue]],2)</f>
        <v>1106.3</v>
      </c>
    </row>
    <row r="256" spans="1:7" x14ac:dyDescent="0.3">
      <c r="A256" s="101">
        <v>43044</v>
      </c>
      <c r="B256" s="96" t="s">
        <v>13</v>
      </c>
      <c r="C256" s="96">
        <v>79</v>
      </c>
      <c r="D256" s="59">
        <v>14.95</v>
      </c>
      <c r="E256" s="59">
        <v>1181.05</v>
      </c>
      <c r="F256" s="96">
        <f>VLOOKUP(RevenueTableAnswer[[#This Row],[Units Sold]],DiscountTableAnswer[],2)</f>
        <v>0.375</v>
      </c>
      <c r="G256" s="96">
        <f>ROUND((1-RevenueTableAnswer[[#This Row],[Discount on Total Revenue]])*RevenueTableAnswer[[#This Row],[Total Revenue]],2)</f>
        <v>738.16</v>
      </c>
    </row>
    <row r="257" spans="1:7" x14ac:dyDescent="0.3">
      <c r="A257" s="101">
        <v>43046</v>
      </c>
      <c r="B257" s="96" t="s">
        <v>5</v>
      </c>
      <c r="C257" s="96">
        <v>180</v>
      </c>
      <c r="D257" s="59">
        <v>22.95</v>
      </c>
      <c r="E257" s="59">
        <v>4131</v>
      </c>
      <c r="F257" s="96">
        <f>VLOOKUP(RevenueTableAnswer[[#This Row],[Units Sold]],DiscountTableAnswer[],2)</f>
        <v>0.55000000000000004</v>
      </c>
      <c r="G257" s="96">
        <f>ROUND((1-RevenueTableAnswer[[#This Row],[Discount on Total Revenue]])*RevenueTableAnswer[[#This Row],[Total Revenue]],2)</f>
        <v>1858.95</v>
      </c>
    </row>
    <row r="258" spans="1:7" x14ac:dyDescent="0.3">
      <c r="A258" s="101">
        <v>43040</v>
      </c>
      <c r="B258" s="96" t="s">
        <v>5</v>
      </c>
      <c r="C258" s="96">
        <v>154</v>
      </c>
      <c r="D258" s="59">
        <v>22.95</v>
      </c>
      <c r="E258" s="59">
        <v>3534.2999999999997</v>
      </c>
      <c r="F258" s="96">
        <f>VLOOKUP(RevenueTableAnswer[[#This Row],[Units Sold]],DiscountTableAnswer[],2)</f>
        <v>0.5</v>
      </c>
      <c r="G258" s="96">
        <f>ROUND((1-RevenueTableAnswer[[#This Row],[Discount on Total Revenue]])*RevenueTableAnswer[[#This Row],[Total Revenue]],2)</f>
        <v>1767.15</v>
      </c>
    </row>
    <row r="259" spans="1:7" x14ac:dyDescent="0.3">
      <c r="A259" s="101">
        <v>43047</v>
      </c>
      <c r="B259" s="96" t="s">
        <v>13</v>
      </c>
      <c r="C259" s="96">
        <v>103</v>
      </c>
      <c r="D259" s="59">
        <v>14.95</v>
      </c>
      <c r="E259" s="59">
        <v>1539.85</v>
      </c>
      <c r="F259" s="96">
        <f>VLOOKUP(RevenueTableAnswer[[#This Row],[Units Sold]],DiscountTableAnswer[],2)</f>
        <v>0.4375</v>
      </c>
      <c r="G259" s="96">
        <f>ROUND((1-RevenueTableAnswer[[#This Row],[Discount on Total Revenue]])*RevenueTableAnswer[[#This Row],[Total Revenue]],2)</f>
        <v>866.17</v>
      </c>
    </row>
    <row r="260" spans="1:7" x14ac:dyDescent="0.3">
      <c r="A260" s="101">
        <v>43047</v>
      </c>
      <c r="B260" s="96" t="s">
        <v>7</v>
      </c>
      <c r="C260" s="96">
        <v>161</v>
      </c>
      <c r="D260" s="59">
        <v>43.95</v>
      </c>
      <c r="E260" s="59">
        <v>7075.9500000000007</v>
      </c>
      <c r="F260" s="96">
        <f>VLOOKUP(RevenueTableAnswer[[#This Row],[Units Sold]],DiscountTableAnswer[],2)</f>
        <v>0.5</v>
      </c>
      <c r="G260" s="96">
        <f>ROUND((1-RevenueTableAnswer[[#This Row],[Discount on Total Revenue]])*RevenueTableAnswer[[#This Row],[Total Revenue]],2)</f>
        <v>3537.98</v>
      </c>
    </row>
    <row r="261" spans="1:7" x14ac:dyDescent="0.3">
      <c r="A261" s="101">
        <v>43047</v>
      </c>
      <c r="B261" s="96" t="s">
        <v>5</v>
      </c>
      <c r="C261" s="96">
        <v>96</v>
      </c>
      <c r="D261" s="59">
        <v>22.95</v>
      </c>
      <c r="E261" s="59">
        <v>2203.1999999999998</v>
      </c>
      <c r="F261" s="96">
        <f>VLOOKUP(RevenueTableAnswer[[#This Row],[Units Sold]],DiscountTableAnswer[],2)</f>
        <v>0.4375</v>
      </c>
      <c r="G261" s="96">
        <f>ROUND((1-RevenueTableAnswer[[#This Row],[Discount on Total Revenue]])*RevenueTableAnswer[[#This Row],[Total Revenue]],2)</f>
        <v>1239.3</v>
      </c>
    </row>
    <row r="262" spans="1:7" x14ac:dyDescent="0.3">
      <c r="A262" s="101">
        <v>43044</v>
      </c>
      <c r="B262" s="96" t="s">
        <v>5</v>
      </c>
      <c r="C262" s="96">
        <v>180</v>
      </c>
      <c r="D262" s="59">
        <v>22.95</v>
      </c>
      <c r="E262" s="59">
        <v>4131</v>
      </c>
      <c r="F262" s="96">
        <f>VLOOKUP(RevenueTableAnswer[[#This Row],[Units Sold]],DiscountTableAnswer[],2)</f>
        <v>0.55000000000000004</v>
      </c>
      <c r="G262" s="96">
        <f>ROUND((1-RevenueTableAnswer[[#This Row],[Discount on Total Revenue]])*RevenueTableAnswer[[#This Row],[Total Revenue]],2)</f>
        <v>1858.95</v>
      </c>
    </row>
    <row r="263" spans="1:7" x14ac:dyDescent="0.3">
      <c r="A263" s="101">
        <v>43047</v>
      </c>
      <c r="B263" s="96" t="s">
        <v>13</v>
      </c>
      <c r="C263" s="96">
        <v>40</v>
      </c>
      <c r="D263" s="59">
        <v>14.95</v>
      </c>
      <c r="E263" s="59">
        <v>598</v>
      </c>
      <c r="F263" s="96">
        <f>VLOOKUP(RevenueTableAnswer[[#This Row],[Units Sold]],DiscountTableAnswer[],2)</f>
        <v>0.25</v>
      </c>
      <c r="G263" s="96">
        <f>ROUND((1-RevenueTableAnswer[[#This Row],[Discount on Total Revenue]])*RevenueTableAnswer[[#This Row],[Total Revenue]],2)</f>
        <v>448.5</v>
      </c>
    </row>
    <row r="264" spans="1:7" x14ac:dyDescent="0.3">
      <c r="A264" s="101">
        <v>43043</v>
      </c>
      <c r="B264" s="96" t="s">
        <v>8</v>
      </c>
      <c r="C264" s="96">
        <v>127</v>
      </c>
      <c r="D264" s="59">
        <v>21.95</v>
      </c>
      <c r="E264" s="59">
        <v>2787.65</v>
      </c>
      <c r="F264" s="96">
        <f>VLOOKUP(RevenueTableAnswer[[#This Row],[Units Sold]],DiscountTableAnswer[],2)</f>
        <v>0.4375</v>
      </c>
      <c r="G264" s="96">
        <f>ROUND((1-RevenueTableAnswer[[#This Row],[Discount on Total Revenue]])*RevenueTableAnswer[[#This Row],[Total Revenue]],2)</f>
        <v>1568.05</v>
      </c>
    </row>
    <row r="265" spans="1:7" x14ac:dyDescent="0.3">
      <c r="A265" s="101">
        <v>43047</v>
      </c>
      <c r="B265" s="96" t="s">
        <v>7</v>
      </c>
      <c r="C265" s="96">
        <v>165</v>
      </c>
      <c r="D265" s="59">
        <v>43.95</v>
      </c>
      <c r="E265" s="59">
        <v>7251.7500000000009</v>
      </c>
      <c r="F265" s="96">
        <f>VLOOKUP(RevenueTableAnswer[[#This Row],[Units Sold]],DiscountTableAnswer[],2)</f>
        <v>0.5</v>
      </c>
      <c r="G265" s="96">
        <f>ROUND((1-RevenueTableAnswer[[#This Row],[Discount on Total Revenue]])*RevenueTableAnswer[[#This Row],[Total Revenue]],2)</f>
        <v>3625.88</v>
      </c>
    </row>
    <row r="266" spans="1:7" x14ac:dyDescent="0.3">
      <c r="A266" s="101">
        <v>43047</v>
      </c>
      <c r="B266" s="96" t="s">
        <v>7</v>
      </c>
      <c r="C266" s="96">
        <v>148</v>
      </c>
      <c r="D266" s="59">
        <v>43.95</v>
      </c>
      <c r="E266" s="59">
        <v>6504.6</v>
      </c>
      <c r="F266" s="96">
        <f>VLOOKUP(RevenueTableAnswer[[#This Row],[Units Sold]],DiscountTableAnswer[],2)</f>
        <v>0.5</v>
      </c>
      <c r="G266" s="96">
        <f>ROUND((1-RevenueTableAnswer[[#This Row],[Discount on Total Revenue]])*RevenueTableAnswer[[#This Row],[Total Revenue]],2)</f>
        <v>3252.3</v>
      </c>
    </row>
    <row r="267" spans="1:7" x14ac:dyDescent="0.3">
      <c r="A267" s="101">
        <v>43045</v>
      </c>
      <c r="B267" s="96" t="s">
        <v>5</v>
      </c>
      <c r="C267" s="96">
        <v>132</v>
      </c>
      <c r="D267" s="59">
        <v>22.95</v>
      </c>
      <c r="E267" s="59">
        <v>3029.4</v>
      </c>
      <c r="F267" s="96">
        <f>VLOOKUP(RevenueTableAnswer[[#This Row],[Units Sold]],DiscountTableAnswer[],2)</f>
        <v>0.4375</v>
      </c>
      <c r="G267" s="96">
        <f>ROUND((1-RevenueTableAnswer[[#This Row],[Discount on Total Revenue]])*RevenueTableAnswer[[#This Row],[Total Revenue]],2)</f>
        <v>1704.04</v>
      </c>
    </row>
    <row r="268" spans="1:7" x14ac:dyDescent="0.3">
      <c r="A268" s="101">
        <v>43045</v>
      </c>
      <c r="B268" s="96" t="s">
        <v>7</v>
      </c>
      <c r="C268" s="96">
        <v>24</v>
      </c>
      <c r="D268" s="59">
        <v>43.95</v>
      </c>
      <c r="E268" s="59">
        <v>1054.8000000000002</v>
      </c>
      <c r="F268" s="96">
        <f>VLOOKUP(RevenueTableAnswer[[#This Row],[Units Sold]],DiscountTableAnswer[],2)</f>
        <v>0.25</v>
      </c>
      <c r="G268" s="96">
        <f>ROUND((1-RevenueTableAnswer[[#This Row],[Discount on Total Revenue]])*RevenueTableAnswer[[#This Row],[Total Revenue]],2)</f>
        <v>791.1</v>
      </c>
    </row>
    <row r="269" spans="1:7" x14ac:dyDescent="0.3">
      <c r="A269" s="101">
        <v>43042</v>
      </c>
      <c r="B269" s="96" t="s">
        <v>13</v>
      </c>
      <c r="C269" s="96">
        <v>131</v>
      </c>
      <c r="D269" s="59">
        <v>14.95</v>
      </c>
      <c r="E269" s="59">
        <v>1958.4499999999998</v>
      </c>
      <c r="F269" s="96">
        <f>VLOOKUP(RevenueTableAnswer[[#This Row],[Units Sold]],DiscountTableAnswer[],2)</f>
        <v>0.4375</v>
      </c>
      <c r="G269" s="96">
        <f>ROUND((1-RevenueTableAnswer[[#This Row],[Discount on Total Revenue]])*RevenueTableAnswer[[#This Row],[Total Revenue]],2)</f>
        <v>1101.6300000000001</v>
      </c>
    </row>
    <row r="270" spans="1:7" x14ac:dyDescent="0.3">
      <c r="A270" s="101">
        <v>43045</v>
      </c>
      <c r="B270" s="96" t="s">
        <v>7</v>
      </c>
      <c r="C270" s="96">
        <v>38</v>
      </c>
      <c r="D270" s="59">
        <v>43.95</v>
      </c>
      <c r="E270" s="59">
        <v>1670.1000000000001</v>
      </c>
      <c r="F270" s="96">
        <f>VLOOKUP(RevenueTableAnswer[[#This Row],[Units Sold]],DiscountTableAnswer[],2)</f>
        <v>0.25</v>
      </c>
      <c r="G270" s="96">
        <f>ROUND((1-RevenueTableAnswer[[#This Row],[Discount on Total Revenue]])*RevenueTableAnswer[[#This Row],[Total Revenue]],2)</f>
        <v>1252.58</v>
      </c>
    </row>
    <row r="271" spans="1:7" x14ac:dyDescent="0.3">
      <c r="A271" s="101">
        <v>43042</v>
      </c>
      <c r="B271" s="96" t="s">
        <v>7</v>
      </c>
      <c r="C271" s="96">
        <v>114</v>
      </c>
      <c r="D271" s="59">
        <v>43.95</v>
      </c>
      <c r="E271" s="59">
        <v>5010.3</v>
      </c>
      <c r="F271" s="96">
        <f>VLOOKUP(RevenueTableAnswer[[#This Row],[Units Sold]],DiscountTableAnswer[],2)</f>
        <v>0.4375</v>
      </c>
      <c r="G271" s="96">
        <f>ROUND((1-RevenueTableAnswer[[#This Row],[Discount on Total Revenue]])*RevenueTableAnswer[[#This Row],[Total Revenue]],2)</f>
        <v>2818.29</v>
      </c>
    </row>
    <row r="272" spans="1:7" x14ac:dyDescent="0.3">
      <c r="A272" s="101">
        <v>43042</v>
      </c>
      <c r="B272" s="96" t="s">
        <v>8</v>
      </c>
      <c r="C272" s="96">
        <v>27</v>
      </c>
      <c r="D272" s="59">
        <v>21.95</v>
      </c>
      <c r="E272" s="59">
        <v>592.65</v>
      </c>
      <c r="F272" s="96">
        <f>VLOOKUP(RevenueTableAnswer[[#This Row],[Units Sold]],DiscountTableAnswer[],2)</f>
        <v>0.25</v>
      </c>
      <c r="G272" s="96">
        <f>ROUND((1-RevenueTableAnswer[[#This Row],[Discount on Total Revenue]])*RevenueTableAnswer[[#This Row],[Total Revenue]],2)</f>
        <v>444.49</v>
      </c>
    </row>
    <row r="273" spans="1:7" x14ac:dyDescent="0.3">
      <c r="A273" s="101">
        <v>43046</v>
      </c>
      <c r="B273" s="96" t="s">
        <v>8</v>
      </c>
      <c r="C273" s="96">
        <v>29</v>
      </c>
      <c r="D273" s="59">
        <v>21.95</v>
      </c>
      <c r="E273" s="59">
        <v>636.54999999999995</v>
      </c>
      <c r="F273" s="96">
        <f>VLOOKUP(RevenueTableAnswer[[#This Row],[Units Sold]],DiscountTableAnswer[],2)</f>
        <v>0.25</v>
      </c>
      <c r="G273" s="96">
        <f>ROUND((1-RevenueTableAnswer[[#This Row],[Discount on Total Revenue]])*RevenueTableAnswer[[#This Row],[Total Revenue]],2)</f>
        <v>477.41</v>
      </c>
    </row>
    <row r="274" spans="1:7" x14ac:dyDescent="0.3">
      <c r="A274" s="101">
        <v>43041</v>
      </c>
      <c r="B274" s="96" t="s">
        <v>7</v>
      </c>
      <c r="C274" s="96">
        <v>155</v>
      </c>
      <c r="D274" s="59">
        <v>43.95</v>
      </c>
      <c r="E274" s="59">
        <v>6812.25</v>
      </c>
      <c r="F274" s="96">
        <f>VLOOKUP(RevenueTableAnswer[[#This Row],[Units Sold]],DiscountTableAnswer[],2)</f>
        <v>0.5</v>
      </c>
      <c r="G274" s="96">
        <f>ROUND((1-RevenueTableAnswer[[#This Row],[Discount on Total Revenue]])*RevenueTableAnswer[[#This Row],[Total Revenue]],2)</f>
        <v>3406.13</v>
      </c>
    </row>
    <row r="275" spans="1:7" x14ac:dyDescent="0.3">
      <c r="A275" s="101">
        <v>43041</v>
      </c>
      <c r="B275" s="96" t="s">
        <v>7</v>
      </c>
      <c r="C275" s="96">
        <v>45</v>
      </c>
      <c r="D275" s="59">
        <v>43.95</v>
      </c>
      <c r="E275" s="59">
        <v>1977.7500000000002</v>
      </c>
      <c r="F275" s="96">
        <f>VLOOKUP(RevenueTableAnswer[[#This Row],[Units Sold]],DiscountTableAnswer[],2)</f>
        <v>0.25</v>
      </c>
      <c r="G275" s="96">
        <f>ROUND((1-RevenueTableAnswer[[#This Row],[Discount on Total Revenue]])*RevenueTableAnswer[[#This Row],[Total Revenue]],2)</f>
        <v>1483.31</v>
      </c>
    </row>
    <row r="276" spans="1:7" x14ac:dyDescent="0.3">
      <c r="A276" s="101">
        <v>43043</v>
      </c>
      <c r="B276" s="96" t="s">
        <v>5</v>
      </c>
      <c r="C276" s="96">
        <v>156</v>
      </c>
      <c r="D276" s="59">
        <v>22.95</v>
      </c>
      <c r="E276" s="59">
        <v>3580.2</v>
      </c>
      <c r="F276" s="96">
        <f>VLOOKUP(RevenueTableAnswer[[#This Row],[Units Sold]],DiscountTableAnswer[],2)</f>
        <v>0.5</v>
      </c>
      <c r="G276" s="96">
        <f>ROUND((1-RevenueTableAnswer[[#This Row],[Discount on Total Revenue]])*RevenueTableAnswer[[#This Row],[Total Revenue]],2)</f>
        <v>1790.1</v>
      </c>
    </row>
    <row r="277" spans="1:7" x14ac:dyDescent="0.3">
      <c r="A277" s="101">
        <v>43043</v>
      </c>
      <c r="B277" s="96" t="s">
        <v>8</v>
      </c>
      <c r="C277" s="96">
        <v>81</v>
      </c>
      <c r="D277" s="59">
        <v>21.95</v>
      </c>
      <c r="E277" s="59">
        <v>1777.95</v>
      </c>
      <c r="F277" s="96">
        <f>VLOOKUP(RevenueTableAnswer[[#This Row],[Units Sold]],DiscountTableAnswer[],2)</f>
        <v>0.375</v>
      </c>
      <c r="G277" s="96">
        <f>ROUND((1-RevenueTableAnswer[[#This Row],[Discount on Total Revenue]])*RevenueTableAnswer[[#This Row],[Total Revenue]],2)</f>
        <v>1111.22</v>
      </c>
    </row>
    <row r="278" spans="1:7" x14ac:dyDescent="0.3">
      <c r="A278" s="101">
        <v>43040</v>
      </c>
      <c r="B278" s="96" t="s">
        <v>13</v>
      </c>
      <c r="C278" s="96">
        <v>56</v>
      </c>
      <c r="D278" s="59">
        <v>14.95</v>
      </c>
      <c r="E278" s="59">
        <v>837.19999999999993</v>
      </c>
      <c r="F278" s="96">
        <f>VLOOKUP(RevenueTableAnswer[[#This Row],[Units Sold]],DiscountTableAnswer[],2)</f>
        <v>0.375</v>
      </c>
      <c r="G278" s="96">
        <f>ROUND((1-RevenueTableAnswer[[#This Row],[Discount on Total Revenue]])*RevenueTableAnswer[[#This Row],[Total Revenue]],2)</f>
        <v>523.25</v>
      </c>
    </row>
    <row r="279" spans="1:7" x14ac:dyDescent="0.3">
      <c r="A279" s="101">
        <v>43043</v>
      </c>
      <c r="B279" s="96" t="s">
        <v>8</v>
      </c>
      <c r="C279" s="96">
        <v>12</v>
      </c>
      <c r="D279" s="59">
        <v>21.95</v>
      </c>
      <c r="E279" s="59">
        <v>263.39999999999998</v>
      </c>
      <c r="F279" s="96">
        <f>VLOOKUP(RevenueTableAnswer[[#This Row],[Units Sold]],DiscountTableAnswer[],2)</f>
        <v>0.25</v>
      </c>
      <c r="G279" s="96">
        <f>ROUND((1-RevenueTableAnswer[[#This Row],[Discount on Total Revenue]])*RevenueTableAnswer[[#This Row],[Total Revenue]],2)</f>
        <v>197.55</v>
      </c>
    </row>
    <row r="280" spans="1:7" x14ac:dyDescent="0.3">
      <c r="A280" s="101">
        <v>43046</v>
      </c>
      <c r="B280" s="96" t="s">
        <v>7</v>
      </c>
      <c r="C280" s="96">
        <v>116</v>
      </c>
      <c r="D280" s="59">
        <v>43.95</v>
      </c>
      <c r="E280" s="59">
        <v>5098.2000000000007</v>
      </c>
      <c r="F280" s="96">
        <f>VLOOKUP(RevenueTableAnswer[[#This Row],[Units Sold]],DiscountTableAnswer[],2)</f>
        <v>0.4375</v>
      </c>
      <c r="G280" s="96">
        <f>ROUND((1-RevenueTableAnswer[[#This Row],[Discount on Total Revenue]])*RevenueTableAnswer[[#This Row],[Total Revenue]],2)</f>
        <v>2867.74</v>
      </c>
    </row>
    <row r="281" spans="1:7" x14ac:dyDescent="0.3">
      <c r="A281" s="101">
        <v>43043</v>
      </c>
      <c r="B281" s="96" t="s">
        <v>13</v>
      </c>
      <c r="C281" s="96">
        <v>145</v>
      </c>
      <c r="D281" s="59">
        <v>14.95</v>
      </c>
      <c r="E281" s="59">
        <v>2167.75</v>
      </c>
      <c r="F281" s="96">
        <f>VLOOKUP(RevenueTableAnswer[[#This Row],[Units Sold]],DiscountTableAnswer[],2)</f>
        <v>0.5</v>
      </c>
      <c r="G281" s="96">
        <f>ROUND((1-RevenueTableAnswer[[#This Row],[Discount on Total Revenue]])*RevenueTableAnswer[[#This Row],[Total Revenue]],2)</f>
        <v>1083.8800000000001</v>
      </c>
    </row>
    <row r="282" spans="1:7" x14ac:dyDescent="0.3">
      <c r="A282" s="101">
        <v>43044</v>
      </c>
      <c r="B282" s="96" t="s">
        <v>5</v>
      </c>
      <c r="C282" s="96">
        <v>19</v>
      </c>
      <c r="D282" s="59">
        <v>22.95</v>
      </c>
      <c r="E282" s="59">
        <v>436.05</v>
      </c>
      <c r="F282" s="96">
        <f>VLOOKUP(RevenueTableAnswer[[#This Row],[Units Sold]],DiscountTableAnswer[],2)</f>
        <v>0.25</v>
      </c>
      <c r="G282" s="96">
        <f>ROUND((1-RevenueTableAnswer[[#This Row],[Discount on Total Revenue]])*RevenueTableAnswer[[#This Row],[Total Revenue]],2)</f>
        <v>327.04000000000002</v>
      </c>
    </row>
    <row r="283" spans="1:7" x14ac:dyDescent="0.3">
      <c r="A283" s="101">
        <v>43041</v>
      </c>
      <c r="B283" s="96" t="s">
        <v>13</v>
      </c>
      <c r="C283" s="96">
        <v>27</v>
      </c>
      <c r="D283" s="59">
        <v>14.95</v>
      </c>
      <c r="E283" s="59">
        <v>403.65</v>
      </c>
      <c r="F283" s="96">
        <f>VLOOKUP(RevenueTableAnswer[[#This Row],[Units Sold]],DiscountTableAnswer[],2)</f>
        <v>0.25</v>
      </c>
      <c r="G283" s="96">
        <f>ROUND((1-RevenueTableAnswer[[#This Row],[Discount on Total Revenue]])*RevenueTableAnswer[[#This Row],[Total Revenue]],2)</f>
        <v>302.74</v>
      </c>
    </row>
    <row r="284" spans="1:7" x14ac:dyDescent="0.3">
      <c r="A284" s="101">
        <v>43044</v>
      </c>
      <c r="B284" s="96" t="s">
        <v>13</v>
      </c>
      <c r="C284" s="96">
        <v>180</v>
      </c>
      <c r="D284" s="59">
        <v>14.95</v>
      </c>
      <c r="E284" s="59">
        <v>2691</v>
      </c>
      <c r="F284" s="96">
        <f>VLOOKUP(RevenueTableAnswer[[#This Row],[Units Sold]],DiscountTableAnswer[],2)</f>
        <v>0.55000000000000004</v>
      </c>
      <c r="G284" s="96">
        <f>ROUND((1-RevenueTableAnswer[[#This Row],[Discount on Total Revenue]])*RevenueTableAnswer[[#This Row],[Total Revenue]],2)</f>
        <v>1210.95</v>
      </c>
    </row>
    <row r="285" spans="1:7" x14ac:dyDescent="0.3">
      <c r="A285" s="101">
        <v>43044</v>
      </c>
      <c r="B285" s="96" t="s">
        <v>5</v>
      </c>
      <c r="C285" s="96">
        <v>29</v>
      </c>
      <c r="D285" s="59">
        <v>22.95</v>
      </c>
      <c r="E285" s="59">
        <v>665.55</v>
      </c>
      <c r="F285" s="96">
        <f>VLOOKUP(RevenueTableAnswer[[#This Row],[Units Sold]],DiscountTableAnswer[],2)</f>
        <v>0.25</v>
      </c>
      <c r="G285" s="96">
        <f>ROUND((1-RevenueTableAnswer[[#This Row],[Discount on Total Revenue]])*RevenueTableAnswer[[#This Row],[Total Revenue]],2)</f>
        <v>499.16</v>
      </c>
    </row>
    <row r="286" spans="1:7" x14ac:dyDescent="0.3">
      <c r="A286" s="101">
        <v>43041</v>
      </c>
      <c r="B286" s="96" t="s">
        <v>5</v>
      </c>
      <c r="C286" s="96">
        <v>151</v>
      </c>
      <c r="D286" s="59">
        <v>22.95</v>
      </c>
      <c r="E286" s="59">
        <v>3465.45</v>
      </c>
      <c r="F286" s="96">
        <f>VLOOKUP(RevenueTableAnswer[[#This Row],[Units Sold]],DiscountTableAnswer[],2)</f>
        <v>0.5</v>
      </c>
      <c r="G286" s="96">
        <f>ROUND((1-RevenueTableAnswer[[#This Row],[Discount on Total Revenue]])*RevenueTableAnswer[[#This Row],[Total Revenue]],2)</f>
        <v>1732.73</v>
      </c>
    </row>
    <row r="287" spans="1:7" x14ac:dyDescent="0.3">
      <c r="A287" s="101">
        <v>43041</v>
      </c>
      <c r="B287" s="96" t="s">
        <v>7</v>
      </c>
      <c r="C287" s="96">
        <v>162</v>
      </c>
      <c r="D287" s="59">
        <v>43.95</v>
      </c>
      <c r="E287" s="59">
        <v>7119.9000000000005</v>
      </c>
      <c r="F287" s="96">
        <f>VLOOKUP(RevenueTableAnswer[[#This Row],[Units Sold]],DiscountTableAnswer[],2)</f>
        <v>0.5</v>
      </c>
      <c r="G287" s="96">
        <f>ROUND((1-RevenueTableAnswer[[#This Row],[Discount on Total Revenue]])*RevenueTableAnswer[[#This Row],[Total Revenue]],2)</f>
        <v>3559.95</v>
      </c>
    </row>
    <row r="288" spans="1:7" x14ac:dyDescent="0.3">
      <c r="A288" s="101">
        <v>43045</v>
      </c>
      <c r="B288" s="96" t="s">
        <v>13</v>
      </c>
      <c r="C288" s="96">
        <v>22</v>
      </c>
      <c r="D288" s="59">
        <v>14.95</v>
      </c>
      <c r="E288" s="59">
        <v>328.9</v>
      </c>
      <c r="F288" s="96">
        <f>VLOOKUP(RevenueTableAnswer[[#This Row],[Units Sold]],DiscountTableAnswer[],2)</f>
        <v>0.25</v>
      </c>
      <c r="G288" s="96">
        <f>ROUND((1-RevenueTableAnswer[[#This Row],[Discount on Total Revenue]])*RevenueTableAnswer[[#This Row],[Total Revenue]],2)</f>
        <v>246.68</v>
      </c>
    </row>
    <row r="289" spans="1:7" x14ac:dyDescent="0.3">
      <c r="A289" s="101">
        <v>43047</v>
      </c>
      <c r="B289" s="96" t="s">
        <v>8</v>
      </c>
      <c r="C289" s="96">
        <v>11</v>
      </c>
      <c r="D289" s="59">
        <v>21.95</v>
      </c>
      <c r="E289" s="59">
        <v>241.45</v>
      </c>
      <c r="F289" s="96">
        <f>VLOOKUP(RevenueTableAnswer[[#This Row],[Units Sold]],DiscountTableAnswer[],2)</f>
        <v>0</v>
      </c>
      <c r="G289" s="96">
        <f>ROUND((1-RevenueTableAnswer[[#This Row],[Discount on Total Revenue]])*RevenueTableAnswer[[#This Row],[Total Revenue]],2)</f>
        <v>241.45</v>
      </c>
    </row>
    <row r="290" spans="1:7" x14ac:dyDescent="0.3">
      <c r="A290" s="101">
        <v>43047</v>
      </c>
      <c r="B290" s="96" t="s">
        <v>13</v>
      </c>
      <c r="C290" s="96">
        <v>182</v>
      </c>
      <c r="D290" s="59">
        <v>14.95</v>
      </c>
      <c r="E290" s="59">
        <v>2720.9</v>
      </c>
      <c r="F290" s="96">
        <f>VLOOKUP(RevenueTableAnswer[[#This Row],[Units Sold]],DiscountTableAnswer[],2)</f>
        <v>0.55000000000000004</v>
      </c>
      <c r="G290" s="96">
        <f>ROUND((1-RevenueTableAnswer[[#This Row],[Discount on Total Revenue]])*RevenueTableAnswer[[#This Row],[Total Revenue]],2)</f>
        <v>1224.4100000000001</v>
      </c>
    </row>
    <row r="291" spans="1:7" x14ac:dyDescent="0.3">
      <c r="A291" s="101">
        <v>43046</v>
      </c>
      <c r="B291" s="96" t="s">
        <v>7</v>
      </c>
      <c r="C291" s="96">
        <v>150</v>
      </c>
      <c r="D291" s="59">
        <v>43.95</v>
      </c>
      <c r="E291" s="59">
        <v>6592.5</v>
      </c>
      <c r="F291" s="96">
        <f>VLOOKUP(RevenueTableAnswer[[#This Row],[Units Sold]],DiscountTableAnswer[],2)</f>
        <v>0.5</v>
      </c>
      <c r="G291" s="96">
        <f>ROUND((1-RevenueTableAnswer[[#This Row],[Discount on Total Revenue]])*RevenueTableAnswer[[#This Row],[Total Revenue]],2)</f>
        <v>3296.25</v>
      </c>
    </row>
    <row r="292" spans="1:7" x14ac:dyDescent="0.3">
      <c r="A292" s="101">
        <v>43047</v>
      </c>
      <c r="B292" s="96" t="s">
        <v>8</v>
      </c>
      <c r="C292" s="96">
        <v>122</v>
      </c>
      <c r="D292" s="59">
        <v>21.95</v>
      </c>
      <c r="E292" s="59">
        <v>2677.9</v>
      </c>
      <c r="F292" s="96">
        <f>VLOOKUP(RevenueTableAnswer[[#This Row],[Units Sold]],DiscountTableAnswer[],2)</f>
        <v>0.4375</v>
      </c>
      <c r="G292" s="96">
        <f>ROUND((1-RevenueTableAnswer[[#This Row],[Discount on Total Revenue]])*RevenueTableAnswer[[#This Row],[Total Revenue]],2)</f>
        <v>1506.32</v>
      </c>
    </row>
    <row r="293" spans="1:7" x14ac:dyDescent="0.3">
      <c r="A293" s="101">
        <v>43045</v>
      </c>
      <c r="B293" s="96" t="s">
        <v>13</v>
      </c>
      <c r="C293" s="96">
        <v>167</v>
      </c>
      <c r="D293" s="59">
        <v>14.95</v>
      </c>
      <c r="E293" s="59">
        <v>2496.65</v>
      </c>
      <c r="F293" s="96">
        <f>VLOOKUP(RevenueTableAnswer[[#This Row],[Units Sold]],DiscountTableAnswer[],2)</f>
        <v>0.5</v>
      </c>
      <c r="G293" s="96">
        <f>ROUND((1-RevenueTableAnswer[[#This Row],[Discount on Total Revenue]])*RevenueTableAnswer[[#This Row],[Total Revenue]],2)</f>
        <v>1248.33</v>
      </c>
    </row>
    <row r="294" spans="1:7" x14ac:dyDescent="0.3">
      <c r="A294" s="101">
        <v>43046</v>
      </c>
      <c r="B294" s="96" t="s">
        <v>7</v>
      </c>
      <c r="C294" s="96">
        <v>104</v>
      </c>
      <c r="D294" s="59">
        <v>43.95</v>
      </c>
      <c r="E294" s="59">
        <v>4570.8</v>
      </c>
      <c r="F294" s="96">
        <f>VLOOKUP(RevenueTableAnswer[[#This Row],[Units Sold]],DiscountTableAnswer[],2)</f>
        <v>0.4375</v>
      </c>
      <c r="G294" s="96">
        <f>ROUND((1-RevenueTableAnswer[[#This Row],[Discount on Total Revenue]])*RevenueTableAnswer[[#This Row],[Total Revenue]],2)</f>
        <v>2571.08</v>
      </c>
    </row>
    <row r="295" spans="1:7" x14ac:dyDescent="0.3">
      <c r="A295" s="101">
        <v>43043</v>
      </c>
      <c r="B295" s="96" t="s">
        <v>13</v>
      </c>
      <c r="C295" s="96">
        <v>41</v>
      </c>
      <c r="D295" s="59">
        <v>14.95</v>
      </c>
      <c r="E295" s="59">
        <v>612.94999999999993</v>
      </c>
      <c r="F295" s="96">
        <f>VLOOKUP(RevenueTableAnswer[[#This Row],[Units Sold]],DiscountTableAnswer[],2)</f>
        <v>0.25</v>
      </c>
      <c r="G295" s="96">
        <f>ROUND((1-RevenueTableAnswer[[#This Row],[Discount on Total Revenue]])*RevenueTableAnswer[[#This Row],[Total Revenue]],2)</f>
        <v>459.71</v>
      </c>
    </row>
    <row r="296" spans="1:7" x14ac:dyDescent="0.3">
      <c r="A296" s="101">
        <v>43046</v>
      </c>
      <c r="B296" s="96" t="s">
        <v>13</v>
      </c>
      <c r="C296" s="96">
        <v>32</v>
      </c>
      <c r="D296" s="59">
        <v>14.95</v>
      </c>
      <c r="E296" s="59">
        <v>478.4</v>
      </c>
      <c r="F296" s="96">
        <f>VLOOKUP(RevenueTableAnswer[[#This Row],[Units Sold]],DiscountTableAnswer[],2)</f>
        <v>0.25</v>
      </c>
      <c r="G296" s="96">
        <f>ROUND((1-RevenueTableAnswer[[#This Row],[Discount on Total Revenue]])*RevenueTableAnswer[[#This Row],[Total Revenue]],2)</f>
        <v>358.8</v>
      </c>
    </row>
    <row r="297" spans="1:7" x14ac:dyDescent="0.3">
      <c r="A297" s="101">
        <v>43045</v>
      </c>
      <c r="B297" s="96" t="s">
        <v>8</v>
      </c>
      <c r="C297" s="96">
        <v>104</v>
      </c>
      <c r="D297" s="59">
        <v>21.95</v>
      </c>
      <c r="E297" s="59">
        <v>2282.7999999999997</v>
      </c>
      <c r="F297" s="96">
        <f>VLOOKUP(RevenueTableAnswer[[#This Row],[Units Sold]],DiscountTableAnswer[],2)</f>
        <v>0.4375</v>
      </c>
      <c r="G297" s="96">
        <f>ROUND((1-RevenueTableAnswer[[#This Row],[Discount on Total Revenue]])*RevenueTableAnswer[[#This Row],[Total Revenue]],2)</f>
        <v>1284.08</v>
      </c>
    </row>
    <row r="298" spans="1:7" x14ac:dyDescent="0.3">
      <c r="A298" s="101">
        <v>43042</v>
      </c>
      <c r="B298" s="96" t="s">
        <v>5</v>
      </c>
      <c r="C298" s="96">
        <v>15</v>
      </c>
      <c r="D298" s="59">
        <v>22.95</v>
      </c>
      <c r="E298" s="59">
        <v>344.25</v>
      </c>
      <c r="F298" s="96">
        <f>VLOOKUP(RevenueTableAnswer[[#This Row],[Units Sold]],DiscountTableAnswer[],2)</f>
        <v>0.25</v>
      </c>
      <c r="G298" s="96">
        <f>ROUND((1-RevenueTableAnswer[[#This Row],[Discount on Total Revenue]])*RevenueTableAnswer[[#This Row],[Total Revenue]],2)</f>
        <v>258.19</v>
      </c>
    </row>
    <row r="299" spans="1:7" x14ac:dyDescent="0.3">
      <c r="A299" s="101">
        <v>43043</v>
      </c>
      <c r="B299" s="96" t="s">
        <v>5</v>
      </c>
      <c r="C299" s="96">
        <v>70</v>
      </c>
      <c r="D299" s="59">
        <v>22.95</v>
      </c>
      <c r="E299" s="59">
        <v>1606.5</v>
      </c>
      <c r="F299" s="96">
        <f>VLOOKUP(RevenueTableAnswer[[#This Row],[Units Sold]],DiscountTableAnswer[],2)</f>
        <v>0.375</v>
      </c>
      <c r="G299" s="96">
        <f>ROUND((1-RevenueTableAnswer[[#This Row],[Discount on Total Revenue]])*RevenueTableAnswer[[#This Row],[Total Revenue]],2)</f>
        <v>1004.06</v>
      </c>
    </row>
    <row r="300" spans="1:7" x14ac:dyDescent="0.3">
      <c r="A300" s="101">
        <v>43047</v>
      </c>
      <c r="B300" s="96" t="s">
        <v>13</v>
      </c>
      <c r="C300" s="96">
        <v>173</v>
      </c>
      <c r="D300" s="59">
        <v>14.95</v>
      </c>
      <c r="E300" s="59">
        <v>2586.35</v>
      </c>
      <c r="F300" s="96">
        <f>VLOOKUP(RevenueTableAnswer[[#This Row],[Units Sold]],DiscountTableAnswer[],2)</f>
        <v>0.55000000000000004</v>
      </c>
      <c r="G300" s="96">
        <f>ROUND((1-RevenueTableAnswer[[#This Row],[Discount on Total Revenue]])*RevenueTableAnswer[[#This Row],[Total Revenue]],2)</f>
        <v>1163.8599999999999</v>
      </c>
    </row>
    <row r="301" spans="1:7" x14ac:dyDescent="0.3">
      <c r="A301" s="101">
        <v>43042</v>
      </c>
      <c r="B301" s="96" t="s">
        <v>13</v>
      </c>
      <c r="C301" s="96">
        <v>69</v>
      </c>
      <c r="D301" s="59">
        <v>14.95</v>
      </c>
      <c r="E301" s="59">
        <v>1031.55</v>
      </c>
      <c r="F301" s="96">
        <f>VLOOKUP(RevenueTableAnswer[[#This Row],[Units Sold]],DiscountTableAnswer[],2)</f>
        <v>0.375</v>
      </c>
      <c r="G301" s="96">
        <f>ROUND((1-RevenueTableAnswer[[#This Row],[Discount on Total Revenue]])*RevenueTableAnswer[[#This Row],[Total Revenue]],2)</f>
        <v>644.72</v>
      </c>
    </row>
    <row r="302" spans="1:7" x14ac:dyDescent="0.3">
      <c r="A302" s="101">
        <v>43047</v>
      </c>
      <c r="B302" s="96" t="s">
        <v>7</v>
      </c>
      <c r="C302" s="96">
        <v>29</v>
      </c>
      <c r="D302" s="59">
        <v>43.95</v>
      </c>
      <c r="E302" s="59">
        <v>1274.5500000000002</v>
      </c>
      <c r="F302" s="96">
        <f>VLOOKUP(RevenueTableAnswer[[#This Row],[Units Sold]],DiscountTableAnswer[],2)</f>
        <v>0.25</v>
      </c>
      <c r="G302" s="96">
        <f>ROUND((1-RevenueTableAnswer[[#This Row],[Discount on Total Revenue]])*RevenueTableAnswer[[#This Row],[Total Revenue]],2)</f>
        <v>955.91</v>
      </c>
    </row>
    <row r="303" spans="1:7" x14ac:dyDescent="0.3">
      <c r="A303" s="101">
        <v>43042</v>
      </c>
      <c r="B303" s="96" t="s">
        <v>8</v>
      </c>
      <c r="C303" s="96">
        <v>185</v>
      </c>
      <c r="D303" s="59">
        <v>21.95</v>
      </c>
      <c r="E303" s="59">
        <v>4060.75</v>
      </c>
      <c r="F303" s="96">
        <f>VLOOKUP(RevenueTableAnswer[[#This Row],[Units Sold]],DiscountTableAnswer[],2)</f>
        <v>0.55000000000000004</v>
      </c>
      <c r="G303" s="96">
        <f>ROUND((1-RevenueTableAnswer[[#This Row],[Discount on Total Revenue]])*RevenueTableAnswer[[#This Row],[Total Revenue]],2)</f>
        <v>1827.34</v>
      </c>
    </row>
    <row r="304" spans="1:7" x14ac:dyDescent="0.3">
      <c r="A304" s="101">
        <v>43040</v>
      </c>
      <c r="B304" s="96" t="s">
        <v>5</v>
      </c>
      <c r="C304" s="96">
        <v>123</v>
      </c>
      <c r="D304" s="59">
        <v>22.95</v>
      </c>
      <c r="E304" s="59">
        <v>2822.85</v>
      </c>
      <c r="F304" s="96">
        <f>VLOOKUP(RevenueTableAnswer[[#This Row],[Units Sold]],DiscountTableAnswer[],2)</f>
        <v>0.4375</v>
      </c>
      <c r="G304" s="96">
        <f>ROUND((1-RevenueTableAnswer[[#This Row],[Discount on Total Revenue]])*RevenueTableAnswer[[#This Row],[Total Revenue]],2)</f>
        <v>1587.85</v>
      </c>
    </row>
    <row r="305" spans="1:7" x14ac:dyDescent="0.3">
      <c r="A305" s="101">
        <v>43043</v>
      </c>
      <c r="B305" s="96" t="s">
        <v>7</v>
      </c>
      <c r="C305" s="96">
        <v>156</v>
      </c>
      <c r="D305" s="59">
        <v>43.95</v>
      </c>
      <c r="E305" s="59">
        <v>6856.2000000000007</v>
      </c>
      <c r="F305" s="96">
        <f>VLOOKUP(RevenueTableAnswer[[#This Row],[Units Sold]],DiscountTableAnswer[],2)</f>
        <v>0.5</v>
      </c>
      <c r="G305" s="96">
        <f>ROUND((1-RevenueTableAnswer[[#This Row],[Discount on Total Revenue]])*RevenueTableAnswer[[#This Row],[Total Revenue]],2)</f>
        <v>3428.1</v>
      </c>
    </row>
    <row r="306" spans="1:7" x14ac:dyDescent="0.3">
      <c r="A306" s="101">
        <v>43044</v>
      </c>
      <c r="B306" s="96" t="s">
        <v>8</v>
      </c>
      <c r="C306" s="96">
        <v>39</v>
      </c>
      <c r="D306" s="59">
        <v>21.95</v>
      </c>
      <c r="E306" s="59">
        <v>856.05</v>
      </c>
      <c r="F306" s="96">
        <f>VLOOKUP(RevenueTableAnswer[[#This Row],[Units Sold]],DiscountTableAnswer[],2)</f>
        <v>0.25</v>
      </c>
      <c r="G306" s="96">
        <f>ROUND((1-RevenueTableAnswer[[#This Row],[Discount on Total Revenue]])*RevenueTableAnswer[[#This Row],[Total Revenue]],2)</f>
        <v>642.04</v>
      </c>
    </row>
    <row r="307" spans="1:7" x14ac:dyDescent="0.3">
      <c r="A307" s="101">
        <v>43045</v>
      </c>
      <c r="B307" s="96" t="s">
        <v>7</v>
      </c>
      <c r="C307" s="96">
        <v>18</v>
      </c>
      <c r="D307" s="59">
        <v>43.95</v>
      </c>
      <c r="E307" s="59">
        <v>791.1</v>
      </c>
      <c r="F307" s="96">
        <f>VLOOKUP(RevenueTableAnswer[[#This Row],[Units Sold]],DiscountTableAnswer[],2)</f>
        <v>0.25</v>
      </c>
      <c r="G307" s="96">
        <f>ROUND((1-RevenueTableAnswer[[#This Row],[Discount on Total Revenue]])*RevenueTableAnswer[[#This Row],[Total Revenue]],2)</f>
        <v>593.33000000000004</v>
      </c>
    </row>
    <row r="308" spans="1:7" x14ac:dyDescent="0.3">
      <c r="A308" s="101">
        <v>43040</v>
      </c>
      <c r="B308" s="96" t="s">
        <v>8</v>
      </c>
      <c r="C308" s="96">
        <v>64</v>
      </c>
      <c r="D308" s="59">
        <v>21.95</v>
      </c>
      <c r="E308" s="59">
        <v>1404.8</v>
      </c>
      <c r="F308" s="96">
        <f>VLOOKUP(RevenueTableAnswer[[#This Row],[Units Sold]],DiscountTableAnswer[],2)</f>
        <v>0.375</v>
      </c>
      <c r="G308" s="96">
        <f>ROUND((1-RevenueTableAnswer[[#This Row],[Discount on Total Revenue]])*RevenueTableAnswer[[#This Row],[Total Revenue]],2)</f>
        <v>878</v>
      </c>
    </row>
    <row r="309" spans="1:7" x14ac:dyDescent="0.3">
      <c r="A309" s="101">
        <v>43044</v>
      </c>
      <c r="B309" s="96" t="s">
        <v>7</v>
      </c>
      <c r="C309" s="96">
        <v>34</v>
      </c>
      <c r="D309" s="59">
        <v>43.95</v>
      </c>
      <c r="E309" s="59">
        <v>1494.3000000000002</v>
      </c>
      <c r="F309" s="96">
        <f>VLOOKUP(RevenueTableAnswer[[#This Row],[Units Sold]],DiscountTableAnswer[],2)</f>
        <v>0.25</v>
      </c>
      <c r="G309" s="96">
        <f>ROUND((1-RevenueTableAnswer[[#This Row],[Discount on Total Revenue]])*RevenueTableAnswer[[#This Row],[Total Revenue]],2)</f>
        <v>1120.73</v>
      </c>
    </row>
    <row r="310" spans="1:7" x14ac:dyDescent="0.3">
      <c r="A310" s="101">
        <v>43046</v>
      </c>
      <c r="B310" s="96" t="s">
        <v>13</v>
      </c>
      <c r="C310" s="96">
        <v>186</v>
      </c>
      <c r="D310" s="59">
        <v>14.95</v>
      </c>
      <c r="E310" s="59">
        <v>2780.7</v>
      </c>
      <c r="F310" s="96">
        <f>VLOOKUP(RevenueTableAnswer[[#This Row],[Units Sold]],DiscountTableAnswer[],2)</f>
        <v>0.55000000000000004</v>
      </c>
      <c r="G310" s="96">
        <f>ROUND((1-RevenueTableAnswer[[#This Row],[Discount on Total Revenue]])*RevenueTableAnswer[[#This Row],[Total Revenue]],2)</f>
        <v>1251.32</v>
      </c>
    </row>
    <row r="311" spans="1:7" x14ac:dyDescent="0.3">
      <c r="A311" s="101">
        <v>43044</v>
      </c>
      <c r="B311" s="96" t="s">
        <v>7</v>
      </c>
      <c r="C311" s="96">
        <v>130</v>
      </c>
      <c r="D311" s="59">
        <v>43.95</v>
      </c>
      <c r="E311" s="59">
        <v>5713.5</v>
      </c>
      <c r="F311" s="96">
        <f>VLOOKUP(RevenueTableAnswer[[#This Row],[Units Sold]],DiscountTableAnswer[],2)</f>
        <v>0.4375</v>
      </c>
      <c r="G311" s="96">
        <f>ROUND((1-RevenueTableAnswer[[#This Row],[Discount on Total Revenue]])*RevenueTableAnswer[[#This Row],[Total Revenue]],2)</f>
        <v>3213.84</v>
      </c>
    </row>
    <row r="312" spans="1:7" x14ac:dyDescent="0.3">
      <c r="A312" s="101">
        <v>43043</v>
      </c>
      <c r="B312" s="96" t="s">
        <v>8</v>
      </c>
      <c r="C312" s="96">
        <v>115</v>
      </c>
      <c r="D312" s="59">
        <v>21.95</v>
      </c>
      <c r="E312" s="59">
        <v>2524.25</v>
      </c>
      <c r="F312" s="96">
        <f>VLOOKUP(RevenueTableAnswer[[#This Row],[Units Sold]],DiscountTableAnswer[],2)</f>
        <v>0.4375</v>
      </c>
      <c r="G312" s="96">
        <f>ROUND((1-RevenueTableAnswer[[#This Row],[Discount on Total Revenue]])*RevenueTableAnswer[[#This Row],[Total Revenue]],2)</f>
        <v>1419.89</v>
      </c>
    </row>
    <row r="313" spans="1:7" x14ac:dyDescent="0.3">
      <c r="A313" s="101">
        <v>43040</v>
      </c>
      <c r="B313" s="96" t="s">
        <v>13</v>
      </c>
      <c r="C313" s="96">
        <v>101</v>
      </c>
      <c r="D313" s="59">
        <v>14.95</v>
      </c>
      <c r="E313" s="59">
        <v>1509.9499999999998</v>
      </c>
      <c r="F313" s="96">
        <f>VLOOKUP(RevenueTableAnswer[[#This Row],[Units Sold]],DiscountTableAnswer[],2)</f>
        <v>0.4375</v>
      </c>
      <c r="G313" s="96">
        <f>ROUND((1-RevenueTableAnswer[[#This Row],[Discount on Total Revenue]])*RevenueTableAnswer[[#This Row],[Total Revenue]],2)</f>
        <v>849.35</v>
      </c>
    </row>
    <row r="314" spans="1:7" x14ac:dyDescent="0.3">
      <c r="A314" s="101">
        <v>43045</v>
      </c>
      <c r="B314" s="96" t="s">
        <v>5</v>
      </c>
      <c r="C314" s="96">
        <v>80</v>
      </c>
      <c r="D314" s="59">
        <v>22.95</v>
      </c>
      <c r="E314" s="59">
        <v>1836</v>
      </c>
      <c r="F314" s="96">
        <f>VLOOKUP(RevenueTableAnswer[[#This Row],[Units Sold]],DiscountTableAnswer[],2)</f>
        <v>0.375</v>
      </c>
      <c r="G314" s="96">
        <f>ROUND((1-RevenueTableAnswer[[#This Row],[Discount on Total Revenue]])*RevenueTableAnswer[[#This Row],[Total Revenue]],2)</f>
        <v>1147.5</v>
      </c>
    </row>
    <row r="315" spans="1:7" x14ac:dyDescent="0.3">
      <c r="A315" s="101">
        <v>43040</v>
      </c>
      <c r="B315" s="96" t="s">
        <v>13</v>
      </c>
      <c r="C315" s="96">
        <v>9</v>
      </c>
      <c r="D315" s="59">
        <v>14.95</v>
      </c>
      <c r="E315" s="59">
        <v>134.54999999999998</v>
      </c>
      <c r="F315" s="96">
        <f>VLOOKUP(RevenueTableAnswer[[#This Row],[Units Sold]],DiscountTableAnswer[],2)</f>
        <v>0</v>
      </c>
      <c r="G315" s="96">
        <f>ROUND((1-RevenueTableAnswer[[#This Row],[Discount on Total Revenue]])*RevenueTableAnswer[[#This Row],[Total Revenue]],2)</f>
        <v>134.55000000000001</v>
      </c>
    </row>
    <row r="316" spans="1:7" x14ac:dyDescent="0.3">
      <c r="A316" s="101">
        <v>43040</v>
      </c>
      <c r="B316" s="96" t="s">
        <v>13</v>
      </c>
      <c r="C316" s="96">
        <v>50</v>
      </c>
      <c r="D316" s="59">
        <v>14.95</v>
      </c>
      <c r="E316" s="59">
        <v>747.5</v>
      </c>
      <c r="F316" s="96">
        <f>VLOOKUP(RevenueTableAnswer[[#This Row],[Units Sold]],DiscountTableAnswer[],2)</f>
        <v>0.375</v>
      </c>
      <c r="G316" s="96">
        <f>ROUND((1-RevenueTableAnswer[[#This Row],[Discount on Total Revenue]])*RevenueTableAnswer[[#This Row],[Total Revenue]],2)</f>
        <v>467.19</v>
      </c>
    </row>
    <row r="317" spans="1:7" x14ac:dyDescent="0.3">
      <c r="A317" s="101">
        <v>43046</v>
      </c>
      <c r="B317" s="96" t="s">
        <v>5</v>
      </c>
      <c r="C317" s="96">
        <v>94</v>
      </c>
      <c r="D317" s="59">
        <v>22.95</v>
      </c>
      <c r="E317" s="59">
        <v>2157.2999999999997</v>
      </c>
      <c r="F317" s="96">
        <f>VLOOKUP(RevenueTableAnswer[[#This Row],[Units Sold]],DiscountTableAnswer[],2)</f>
        <v>0.375</v>
      </c>
      <c r="G317" s="96">
        <f>ROUND((1-RevenueTableAnswer[[#This Row],[Discount on Total Revenue]])*RevenueTableAnswer[[#This Row],[Total Revenue]],2)</f>
        <v>1348.31</v>
      </c>
    </row>
    <row r="318" spans="1:7" x14ac:dyDescent="0.3">
      <c r="A318" s="101">
        <v>43043</v>
      </c>
      <c r="B318" s="96" t="s">
        <v>7</v>
      </c>
      <c r="C318" s="96">
        <v>103</v>
      </c>
      <c r="D318" s="59">
        <v>43.95</v>
      </c>
      <c r="E318" s="59">
        <v>4526.8500000000004</v>
      </c>
      <c r="F318" s="96">
        <f>VLOOKUP(RevenueTableAnswer[[#This Row],[Units Sold]],DiscountTableAnswer[],2)</f>
        <v>0.4375</v>
      </c>
      <c r="G318" s="96">
        <f>ROUND((1-RevenueTableAnswer[[#This Row],[Discount on Total Revenue]])*RevenueTableAnswer[[#This Row],[Total Revenue]],2)</f>
        <v>2546.35</v>
      </c>
    </row>
    <row r="319" spans="1:7" x14ac:dyDescent="0.3">
      <c r="A319" s="101">
        <v>43041</v>
      </c>
      <c r="B319" s="96" t="s">
        <v>7</v>
      </c>
      <c r="C319" s="96">
        <v>82</v>
      </c>
      <c r="D319" s="59">
        <v>43.95</v>
      </c>
      <c r="E319" s="59">
        <v>3603.9</v>
      </c>
      <c r="F319" s="96">
        <f>VLOOKUP(RevenueTableAnswer[[#This Row],[Units Sold]],DiscountTableAnswer[],2)</f>
        <v>0.375</v>
      </c>
      <c r="G319" s="96">
        <f>ROUND((1-RevenueTableAnswer[[#This Row],[Discount on Total Revenue]])*RevenueTableAnswer[[#This Row],[Total Revenue]],2)</f>
        <v>2252.44</v>
      </c>
    </row>
    <row r="320" spans="1:7" x14ac:dyDescent="0.3">
      <c r="A320" s="101">
        <v>43041</v>
      </c>
      <c r="B320" s="96" t="s">
        <v>7</v>
      </c>
      <c r="C320" s="96">
        <v>116</v>
      </c>
      <c r="D320" s="59">
        <v>43.95</v>
      </c>
      <c r="E320" s="59">
        <v>5098.2000000000007</v>
      </c>
      <c r="F320" s="96">
        <f>VLOOKUP(RevenueTableAnswer[[#This Row],[Units Sold]],DiscountTableAnswer[],2)</f>
        <v>0.4375</v>
      </c>
      <c r="G320" s="96">
        <f>ROUND((1-RevenueTableAnswer[[#This Row],[Discount on Total Revenue]])*RevenueTableAnswer[[#This Row],[Total Revenue]],2)</f>
        <v>2867.74</v>
      </c>
    </row>
    <row r="321" spans="1:7" x14ac:dyDescent="0.3">
      <c r="A321" s="101">
        <v>43040</v>
      </c>
      <c r="B321" s="96" t="s">
        <v>13</v>
      </c>
      <c r="C321" s="96">
        <v>161</v>
      </c>
      <c r="D321" s="59">
        <v>14.95</v>
      </c>
      <c r="E321" s="59">
        <v>2406.9499999999998</v>
      </c>
      <c r="F321" s="96">
        <f>VLOOKUP(RevenueTableAnswer[[#This Row],[Units Sold]],DiscountTableAnswer[],2)</f>
        <v>0.5</v>
      </c>
      <c r="G321" s="96">
        <f>ROUND((1-RevenueTableAnswer[[#This Row],[Discount on Total Revenue]])*RevenueTableAnswer[[#This Row],[Total Revenue]],2)</f>
        <v>1203.48</v>
      </c>
    </row>
    <row r="322" spans="1:7" x14ac:dyDescent="0.3">
      <c r="A322" s="101">
        <v>43046</v>
      </c>
      <c r="B322" s="96" t="s">
        <v>5</v>
      </c>
      <c r="C322" s="96">
        <v>136</v>
      </c>
      <c r="D322" s="59">
        <v>22.95</v>
      </c>
      <c r="E322" s="59">
        <v>3121.2</v>
      </c>
      <c r="F322" s="96">
        <f>VLOOKUP(RevenueTableAnswer[[#This Row],[Units Sold]],DiscountTableAnswer[],2)</f>
        <v>0.4375</v>
      </c>
      <c r="G322" s="96">
        <f>ROUND((1-RevenueTableAnswer[[#This Row],[Discount on Total Revenue]])*RevenueTableAnswer[[#This Row],[Total Revenue]],2)</f>
        <v>1755.68</v>
      </c>
    </row>
    <row r="323" spans="1:7" x14ac:dyDescent="0.3">
      <c r="A323" s="101">
        <v>43043</v>
      </c>
      <c r="B323" s="96" t="s">
        <v>13</v>
      </c>
      <c r="C323" s="96">
        <v>50</v>
      </c>
      <c r="D323" s="59">
        <v>14.95</v>
      </c>
      <c r="E323" s="59">
        <v>747.5</v>
      </c>
      <c r="F323" s="96">
        <f>VLOOKUP(RevenueTableAnswer[[#This Row],[Units Sold]],DiscountTableAnswer[],2)</f>
        <v>0.375</v>
      </c>
      <c r="G323" s="96">
        <f>ROUND((1-RevenueTableAnswer[[#This Row],[Discount on Total Revenue]])*RevenueTableAnswer[[#This Row],[Total Revenue]],2)</f>
        <v>467.19</v>
      </c>
    </row>
    <row r="324" spans="1:7" x14ac:dyDescent="0.3">
      <c r="A324" s="101">
        <v>43043</v>
      </c>
      <c r="B324" s="96" t="s">
        <v>7</v>
      </c>
      <c r="C324" s="96">
        <v>149</v>
      </c>
      <c r="D324" s="59">
        <v>43.95</v>
      </c>
      <c r="E324" s="59">
        <v>6548.55</v>
      </c>
      <c r="F324" s="96">
        <f>VLOOKUP(RevenueTableAnswer[[#This Row],[Units Sold]],DiscountTableAnswer[],2)</f>
        <v>0.5</v>
      </c>
      <c r="G324" s="96">
        <f>ROUND((1-RevenueTableAnswer[[#This Row],[Discount on Total Revenue]])*RevenueTableAnswer[[#This Row],[Total Revenue]],2)</f>
        <v>3274.28</v>
      </c>
    </row>
    <row r="325" spans="1:7" x14ac:dyDescent="0.3">
      <c r="A325" s="101">
        <v>43045</v>
      </c>
      <c r="B325" s="96" t="s">
        <v>8</v>
      </c>
      <c r="C325" s="96">
        <v>35</v>
      </c>
      <c r="D325" s="59">
        <v>21.95</v>
      </c>
      <c r="E325" s="59">
        <v>768.25</v>
      </c>
      <c r="F325" s="96">
        <f>VLOOKUP(RevenueTableAnswer[[#This Row],[Units Sold]],DiscountTableAnswer[],2)</f>
        <v>0.25</v>
      </c>
      <c r="G325" s="96">
        <f>ROUND((1-RevenueTableAnswer[[#This Row],[Discount on Total Revenue]])*RevenueTableAnswer[[#This Row],[Total Revenue]],2)</f>
        <v>576.19000000000005</v>
      </c>
    </row>
    <row r="326" spans="1:7" x14ac:dyDescent="0.3">
      <c r="A326" s="101">
        <v>43047</v>
      </c>
      <c r="B326" s="96" t="s">
        <v>7</v>
      </c>
      <c r="C326" s="96">
        <v>8</v>
      </c>
      <c r="D326" s="59">
        <v>43.95</v>
      </c>
      <c r="E326" s="59">
        <v>351.6</v>
      </c>
      <c r="F326" s="96">
        <f>VLOOKUP(RevenueTableAnswer[[#This Row],[Units Sold]],DiscountTableAnswer[],2)</f>
        <v>0</v>
      </c>
      <c r="G326" s="96">
        <f>ROUND((1-RevenueTableAnswer[[#This Row],[Discount on Total Revenue]])*RevenueTableAnswer[[#This Row],[Total Revenue]],2)</f>
        <v>351.6</v>
      </c>
    </row>
    <row r="327" spans="1:7" x14ac:dyDescent="0.3">
      <c r="A327" s="101">
        <v>43042</v>
      </c>
      <c r="B327" s="96" t="s">
        <v>5</v>
      </c>
      <c r="C327" s="96">
        <v>54</v>
      </c>
      <c r="D327" s="59">
        <v>22.95</v>
      </c>
      <c r="E327" s="59">
        <v>1239.3</v>
      </c>
      <c r="F327" s="96">
        <f>VLOOKUP(RevenueTableAnswer[[#This Row],[Units Sold]],DiscountTableAnswer[],2)</f>
        <v>0.375</v>
      </c>
      <c r="G327" s="96">
        <f>ROUND((1-RevenueTableAnswer[[#This Row],[Discount on Total Revenue]])*RevenueTableAnswer[[#This Row],[Total Revenue]],2)</f>
        <v>774.56</v>
      </c>
    </row>
    <row r="328" spans="1:7" x14ac:dyDescent="0.3">
      <c r="A328" s="101">
        <v>43040</v>
      </c>
      <c r="B328" s="96" t="s">
        <v>5</v>
      </c>
      <c r="C328" s="96">
        <v>88</v>
      </c>
      <c r="D328" s="59">
        <v>22.95</v>
      </c>
      <c r="E328" s="59">
        <v>2019.6</v>
      </c>
      <c r="F328" s="96">
        <f>VLOOKUP(RevenueTableAnswer[[#This Row],[Units Sold]],DiscountTableAnswer[],2)</f>
        <v>0.375</v>
      </c>
      <c r="G328" s="96">
        <f>ROUND((1-RevenueTableAnswer[[#This Row],[Discount on Total Revenue]])*RevenueTableAnswer[[#This Row],[Total Revenue]],2)</f>
        <v>1262.25</v>
      </c>
    </row>
    <row r="329" spans="1:7" x14ac:dyDescent="0.3">
      <c r="A329" s="101">
        <v>43044</v>
      </c>
      <c r="B329" s="96" t="s">
        <v>5</v>
      </c>
      <c r="C329" s="96">
        <v>176</v>
      </c>
      <c r="D329" s="59">
        <v>22.95</v>
      </c>
      <c r="E329" s="59">
        <v>4039.2</v>
      </c>
      <c r="F329" s="96">
        <f>VLOOKUP(RevenueTableAnswer[[#This Row],[Units Sold]],DiscountTableAnswer[],2)</f>
        <v>0.55000000000000004</v>
      </c>
      <c r="G329" s="96">
        <f>ROUND((1-RevenueTableAnswer[[#This Row],[Discount on Total Revenue]])*RevenueTableAnswer[[#This Row],[Total Revenue]],2)</f>
        <v>1817.64</v>
      </c>
    </row>
    <row r="330" spans="1:7" x14ac:dyDescent="0.3">
      <c r="A330" s="101">
        <v>43040</v>
      </c>
      <c r="B330" s="96" t="s">
        <v>5</v>
      </c>
      <c r="C330" s="96">
        <v>79</v>
      </c>
      <c r="D330" s="59">
        <v>22.95</v>
      </c>
      <c r="E330" s="59">
        <v>1813.05</v>
      </c>
      <c r="F330" s="96">
        <f>VLOOKUP(RevenueTableAnswer[[#This Row],[Units Sold]],DiscountTableAnswer[],2)</f>
        <v>0.375</v>
      </c>
      <c r="G330" s="96">
        <f>ROUND((1-RevenueTableAnswer[[#This Row],[Discount on Total Revenue]])*RevenueTableAnswer[[#This Row],[Total Revenue]],2)</f>
        <v>1133.1600000000001</v>
      </c>
    </row>
    <row r="331" spans="1:7" x14ac:dyDescent="0.3">
      <c r="A331" s="101">
        <v>43045</v>
      </c>
      <c r="B331" s="96" t="s">
        <v>13</v>
      </c>
      <c r="C331" s="96">
        <v>163</v>
      </c>
      <c r="D331" s="59">
        <v>14.95</v>
      </c>
      <c r="E331" s="59">
        <v>2436.85</v>
      </c>
      <c r="F331" s="96">
        <f>VLOOKUP(RevenueTableAnswer[[#This Row],[Units Sold]],DiscountTableAnswer[],2)</f>
        <v>0.5</v>
      </c>
      <c r="G331" s="96">
        <f>ROUND((1-RevenueTableAnswer[[#This Row],[Discount on Total Revenue]])*RevenueTableAnswer[[#This Row],[Total Revenue]],2)</f>
        <v>1218.43</v>
      </c>
    </row>
    <row r="332" spans="1:7" x14ac:dyDescent="0.3">
      <c r="A332" s="101">
        <v>43041</v>
      </c>
      <c r="B332" s="96" t="s">
        <v>8</v>
      </c>
      <c r="C332" s="96">
        <v>8</v>
      </c>
      <c r="D332" s="59">
        <v>21.95</v>
      </c>
      <c r="E332" s="59">
        <v>175.6</v>
      </c>
      <c r="F332" s="96">
        <f>VLOOKUP(RevenueTableAnswer[[#This Row],[Units Sold]],DiscountTableAnswer[],2)</f>
        <v>0</v>
      </c>
      <c r="G332" s="96">
        <f>ROUND((1-RevenueTableAnswer[[#This Row],[Discount on Total Revenue]])*RevenueTableAnswer[[#This Row],[Total Revenue]],2)</f>
        <v>175.6</v>
      </c>
    </row>
    <row r="333" spans="1:7" x14ac:dyDescent="0.3">
      <c r="A333" s="101">
        <v>43045</v>
      </c>
      <c r="B333" s="96" t="s">
        <v>7</v>
      </c>
      <c r="C333" s="96">
        <v>188</v>
      </c>
      <c r="D333" s="59">
        <v>43.95</v>
      </c>
      <c r="E333" s="59">
        <v>8262.6</v>
      </c>
      <c r="F333" s="96">
        <f>VLOOKUP(RevenueTableAnswer[[#This Row],[Units Sold]],DiscountTableAnswer[],2)</f>
        <v>0.55000000000000004</v>
      </c>
      <c r="G333" s="96">
        <f>ROUND((1-RevenueTableAnswer[[#This Row],[Discount on Total Revenue]])*RevenueTableAnswer[[#This Row],[Total Revenue]],2)</f>
        <v>3718.17</v>
      </c>
    </row>
    <row r="334" spans="1:7" x14ac:dyDescent="0.3">
      <c r="A334" s="101">
        <v>43040</v>
      </c>
      <c r="B334" s="96" t="s">
        <v>5</v>
      </c>
      <c r="C334" s="96">
        <v>35</v>
      </c>
      <c r="D334" s="59">
        <v>22.95</v>
      </c>
      <c r="E334" s="59">
        <v>803.25</v>
      </c>
      <c r="F334" s="96">
        <f>VLOOKUP(RevenueTableAnswer[[#This Row],[Units Sold]],DiscountTableAnswer[],2)</f>
        <v>0.25</v>
      </c>
      <c r="G334" s="96">
        <f>ROUND((1-RevenueTableAnswer[[#This Row],[Discount on Total Revenue]])*RevenueTableAnswer[[#This Row],[Total Revenue]],2)</f>
        <v>602.44000000000005</v>
      </c>
    </row>
    <row r="335" spans="1:7" x14ac:dyDescent="0.3">
      <c r="A335" s="101">
        <v>43047</v>
      </c>
      <c r="B335" s="96" t="s">
        <v>8</v>
      </c>
      <c r="C335" s="96">
        <v>10</v>
      </c>
      <c r="D335" s="59">
        <v>21.95</v>
      </c>
      <c r="E335" s="59">
        <v>219.5</v>
      </c>
      <c r="F335" s="96">
        <f>VLOOKUP(RevenueTableAnswer[[#This Row],[Units Sold]],DiscountTableAnswer[],2)</f>
        <v>0</v>
      </c>
      <c r="G335" s="96">
        <f>ROUND((1-RevenueTableAnswer[[#This Row],[Discount on Total Revenue]])*RevenueTableAnswer[[#This Row],[Total Revenue]],2)</f>
        <v>219.5</v>
      </c>
    </row>
    <row r="336" spans="1:7" x14ac:dyDescent="0.3">
      <c r="A336" s="101">
        <v>43045</v>
      </c>
      <c r="B336" s="96" t="s">
        <v>5</v>
      </c>
      <c r="C336" s="96">
        <v>36</v>
      </c>
      <c r="D336" s="59">
        <v>22.95</v>
      </c>
      <c r="E336" s="59">
        <v>826.19999999999993</v>
      </c>
      <c r="F336" s="96">
        <f>VLOOKUP(RevenueTableAnswer[[#This Row],[Units Sold]],DiscountTableAnswer[],2)</f>
        <v>0.25</v>
      </c>
      <c r="G336" s="96">
        <f>ROUND((1-RevenueTableAnswer[[#This Row],[Discount on Total Revenue]])*RevenueTableAnswer[[#This Row],[Total Revenue]],2)</f>
        <v>619.65</v>
      </c>
    </row>
    <row r="337" spans="1:7" x14ac:dyDescent="0.3">
      <c r="A337" s="101">
        <v>43043</v>
      </c>
      <c r="B337" s="96" t="s">
        <v>7</v>
      </c>
      <c r="C337" s="96">
        <v>172</v>
      </c>
      <c r="D337" s="59">
        <v>43.95</v>
      </c>
      <c r="E337" s="59">
        <v>7559.4000000000005</v>
      </c>
      <c r="F337" s="96">
        <f>VLOOKUP(RevenueTableAnswer[[#This Row],[Units Sold]],DiscountTableAnswer[],2)</f>
        <v>0.55000000000000004</v>
      </c>
      <c r="G337" s="96">
        <f>ROUND((1-RevenueTableAnswer[[#This Row],[Discount on Total Revenue]])*RevenueTableAnswer[[#This Row],[Total Revenue]],2)</f>
        <v>3401.73</v>
      </c>
    </row>
    <row r="338" spans="1:7" x14ac:dyDescent="0.3">
      <c r="A338" s="101">
        <v>43044</v>
      </c>
      <c r="B338" s="96" t="s">
        <v>13</v>
      </c>
      <c r="C338" s="96">
        <v>142</v>
      </c>
      <c r="D338" s="59">
        <v>14.95</v>
      </c>
      <c r="E338" s="59">
        <v>2122.9</v>
      </c>
      <c r="F338" s="96">
        <f>VLOOKUP(RevenueTableAnswer[[#This Row],[Units Sold]],DiscountTableAnswer[],2)</f>
        <v>0.4375</v>
      </c>
      <c r="G338" s="96">
        <f>ROUND((1-RevenueTableAnswer[[#This Row],[Discount on Total Revenue]])*RevenueTableAnswer[[#This Row],[Total Revenue]],2)</f>
        <v>1194.1300000000001</v>
      </c>
    </row>
    <row r="339" spans="1:7" x14ac:dyDescent="0.3">
      <c r="A339" s="101">
        <v>43044</v>
      </c>
      <c r="B339" s="96" t="s">
        <v>8</v>
      </c>
      <c r="C339" s="96">
        <v>79</v>
      </c>
      <c r="D339" s="59">
        <v>21.95</v>
      </c>
      <c r="E339" s="59">
        <v>1734.05</v>
      </c>
      <c r="F339" s="96">
        <f>VLOOKUP(RevenueTableAnswer[[#This Row],[Units Sold]],DiscountTableAnswer[],2)</f>
        <v>0.375</v>
      </c>
      <c r="G339" s="96">
        <f>ROUND((1-RevenueTableAnswer[[#This Row],[Discount on Total Revenue]])*RevenueTableAnswer[[#This Row],[Total Revenue]],2)</f>
        <v>1083.78</v>
      </c>
    </row>
    <row r="340" spans="1:7" x14ac:dyDescent="0.3">
      <c r="A340" s="101">
        <v>43040</v>
      </c>
      <c r="B340" s="96" t="s">
        <v>7</v>
      </c>
      <c r="C340" s="96">
        <v>3</v>
      </c>
      <c r="D340" s="59">
        <v>43.95</v>
      </c>
      <c r="E340" s="59">
        <v>131.85000000000002</v>
      </c>
      <c r="F340" s="96">
        <f>VLOOKUP(RevenueTableAnswer[[#This Row],[Units Sold]],DiscountTableAnswer[],2)</f>
        <v>0</v>
      </c>
      <c r="G340" s="96">
        <f>ROUND((1-RevenueTableAnswer[[#This Row],[Discount on Total Revenue]])*RevenueTableAnswer[[#This Row],[Total Revenue]],2)</f>
        <v>131.85</v>
      </c>
    </row>
    <row r="341" spans="1:7" x14ac:dyDescent="0.3">
      <c r="A341" s="101">
        <v>43045</v>
      </c>
      <c r="B341" s="96" t="s">
        <v>5</v>
      </c>
      <c r="C341" s="96">
        <v>106</v>
      </c>
      <c r="D341" s="59">
        <v>22.95</v>
      </c>
      <c r="E341" s="59">
        <v>2432.6999999999998</v>
      </c>
      <c r="F341" s="96">
        <f>VLOOKUP(RevenueTableAnswer[[#This Row],[Units Sold]],DiscountTableAnswer[],2)</f>
        <v>0.4375</v>
      </c>
      <c r="G341" s="96">
        <f>ROUND((1-RevenueTableAnswer[[#This Row],[Discount on Total Revenue]])*RevenueTableAnswer[[#This Row],[Total Revenue]],2)</f>
        <v>1368.39</v>
      </c>
    </row>
    <row r="342" spans="1:7" x14ac:dyDescent="0.3">
      <c r="A342" s="101">
        <v>43041</v>
      </c>
      <c r="B342" s="96" t="s">
        <v>8</v>
      </c>
      <c r="C342" s="96">
        <v>16</v>
      </c>
      <c r="D342" s="59">
        <v>21.95</v>
      </c>
      <c r="E342" s="59">
        <v>351.2</v>
      </c>
      <c r="F342" s="96">
        <f>VLOOKUP(RevenueTableAnswer[[#This Row],[Units Sold]],DiscountTableAnswer[],2)</f>
        <v>0.25</v>
      </c>
      <c r="G342" s="96">
        <f>ROUND((1-RevenueTableAnswer[[#This Row],[Discount on Total Revenue]])*RevenueTableAnswer[[#This Row],[Total Revenue]],2)</f>
        <v>263.39999999999998</v>
      </c>
    </row>
    <row r="343" spans="1:7" x14ac:dyDescent="0.3">
      <c r="A343" s="101">
        <v>43042</v>
      </c>
      <c r="B343" s="96" t="s">
        <v>8</v>
      </c>
      <c r="C343" s="96">
        <v>123</v>
      </c>
      <c r="D343" s="59">
        <v>21.95</v>
      </c>
      <c r="E343" s="59">
        <v>2699.85</v>
      </c>
      <c r="F343" s="96">
        <f>VLOOKUP(RevenueTableAnswer[[#This Row],[Units Sold]],DiscountTableAnswer[],2)</f>
        <v>0.4375</v>
      </c>
      <c r="G343" s="96">
        <f>ROUND((1-RevenueTableAnswer[[#This Row],[Discount on Total Revenue]])*RevenueTableAnswer[[#This Row],[Total Revenue]],2)</f>
        <v>1518.67</v>
      </c>
    </row>
    <row r="344" spans="1:7" x14ac:dyDescent="0.3">
      <c r="A344" s="101">
        <v>43045</v>
      </c>
      <c r="B344" s="96" t="s">
        <v>8</v>
      </c>
      <c r="C344" s="96">
        <v>80</v>
      </c>
      <c r="D344" s="59">
        <v>21.95</v>
      </c>
      <c r="E344" s="59">
        <v>1756</v>
      </c>
      <c r="F344" s="96">
        <f>VLOOKUP(RevenueTableAnswer[[#This Row],[Units Sold]],DiscountTableAnswer[],2)</f>
        <v>0.375</v>
      </c>
      <c r="G344" s="96">
        <f>ROUND((1-RevenueTableAnswer[[#This Row],[Discount on Total Revenue]])*RevenueTableAnswer[[#This Row],[Total Revenue]],2)</f>
        <v>1097.5</v>
      </c>
    </row>
    <row r="345" spans="1:7" x14ac:dyDescent="0.3">
      <c r="A345" s="101">
        <v>43044</v>
      </c>
      <c r="B345" s="96" t="s">
        <v>7</v>
      </c>
      <c r="C345" s="96">
        <v>155</v>
      </c>
      <c r="D345" s="59">
        <v>43.95</v>
      </c>
      <c r="E345" s="59">
        <v>6812.25</v>
      </c>
      <c r="F345" s="96">
        <f>VLOOKUP(RevenueTableAnswer[[#This Row],[Units Sold]],DiscountTableAnswer[],2)</f>
        <v>0.5</v>
      </c>
      <c r="G345" s="96">
        <f>ROUND((1-RevenueTableAnswer[[#This Row],[Discount on Total Revenue]])*RevenueTableAnswer[[#This Row],[Total Revenue]],2)</f>
        <v>3406.13</v>
      </c>
    </row>
    <row r="346" spans="1:7" x14ac:dyDescent="0.3">
      <c r="A346" s="101">
        <v>43047</v>
      </c>
      <c r="B346" s="96" t="s">
        <v>7</v>
      </c>
      <c r="C346" s="96">
        <v>130</v>
      </c>
      <c r="D346" s="59">
        <v>43.95</v>
      </c>
      <c r="E346" s="59">
        <v>5713.5</v>
      </c>
      <c r="F346" s="96">
        <f>VLOOKUP(RevenueTableAnswer[[#This Row],[Units Sold]],DiscountTableAnswer[],2)</f>
        <v>0.4375</v>
      </c>
      <c r="G346" s="96">
        <f>ROUND((1-RevenueTableAnswer[[#This Row],[Discount on Total Revenue]])*RevenueTableAnswer[[#This Row],[Total Revenue]],2)</f>
        <v>3213.84</v>
      </c>
    </row>
    <row r="347" spans="1:7" x14ac:dyDescent="0.3">
      <c r="A347" s="101">
        <v>43042</v>
      </c>
      <c r="B347" s="96" t="s">
        <v>8</v>
      </c>
      <c r="C347" s="96">
        <v>87</v>
      </c>
      <c r="D347" s="59">
        <v>21.95</v>
      </c>
      <c r="E347" s="59">
        <v>1909.6499999999999</v>
      </c>
      <c r="F347" s="96">
        <f>VLOOKUP(RevenueTableAnswer[[#This Row],[Units Sold]],DiscountTableAnswer[],2)</f>
        <v>0.375</v>
      </c>
      <c r="G347" s="96">
        <f>ROUND((1-RevenueTableAnswer[[#This Row],[Discount on Total Revenue]])*RevenueTableAnswer[[#This Row],[Total Revenue]],2)</f>
        <v>1193.53</v>
      </c>
    </row>
    <row r="348" spans="1:7" x14ac:dyDescent="0.3">
      <c r="A348" s="101">
        <v>43042</v>
      </c>
      <c r="B348" s="96" t="s">
        <v>13</v>
      </c>
      <c r="C348" s="96">
        <v>104</v>
      </c>
      <c r="D348" s="59">
        <v>14.95</v>
      </c>
      <c r="E348" s="59">
        <v>1554.8</v>
      </c>
      <c r="F348" s="96">
        <f>VLOOKUP(RevenueTableAnswer[[#This Row],[Units Sold]],DiscountTableAnswer[],2)</f>
        <v>0.4375</v>
      </c>
      <c r="G348" s="96">
        <f>ROUND((1-RevenueTableAnswer[[#This Row],[Discount on Total Revenue]])*RevenueTableAnswer[[#This Row],[Total Revenue]],2)</f>
        <v>874.58</v>
      </c>
    </row>
    <row r="349" spans="1:7" x14ac:dyDescent="0.3">
      <c r="A349" s="101">
        <v>43045</v>
      </c>
      <c r="B349" s="96" t="s">
        <v>8</v>
      </c>
      <c r="C349" s="96">
        <v>83</v>
      </c>
      <c r="D349" s="59">
        <v>21.95</v>
      </c>
      <c r="E349" s="59">
        <v>1821.85</v>
      </c>
      <c r="F349" s="96">
        <f>VLOOKUP(RevenueTableAnswer[[#This Row],[Units Sold]],DiscountTableAnswer[],2)</f>
        <v>0.375</v>
      </c>
      <c r="G349" s="96">
        <f>ROUND((1-RevenueTableAnswer[[#This Row],[Discount on Total Revenue]])*RevenueTableAnswer[[#This Row],[Total Revenue]],2)</f>
        <v>1138.6600000000001</v>
      </c>
    </row>
    <row r="350" spans="1:7" x14ac:dyDescent="0.3">
      <c r="A350" s="101">
        <v>43047</v>
      </c>
      <c r="B350" s="96" t="s">
        <v>5</v>
      </c>
      <c r="C350" s="96">
        <v>139</v>
      </c>
      <c r="D350" s="59">
        <v>22.95</v>
      </c>
      <c r="E350" s="59">
        <v>3190.0499999999997</v>
      </c>
      <c r="F350" s="96">
        <f>VLOOKUP(RevenueTableAnswer[[#This Row],[Units Sold]],DiscountTableAnswer[],2)</f>
        <v>0.4375</v>
      </c>
      <c r="G350" s="96">
        <f>ROUND((1-RevenueTableAnswer[[#This Row],[Discount on Total Revenue]])*RevenueTableAnswer[[#This Row],[Total Revenue]],2)</f>
        <v>1794.4</v>
      </c>
    </row>
    <row r="351" spans="1:7" x14ac:dyDescent="0.3">
      <c r="A351" s="101">
        <v>43041</v>
      </c>
      <c r="B351" s="96" t="s">
        <v>13</v>
      </c>
      <c r="C351" s="96">
        <v>139</v>
      </c>
      <c r="D351" s="59">
        <v>14.95</v>
      </c>
      <c r="E351" s="59">
        <v>2078.0499999999997</v>
      </c>
      <c r="F351" s="96">
        <f>VLOOKUP(RevenueTableAnswer[[#This Row],[Units Sold]],DiscountTableAnswer[],2)</f>
        <v>0.4375</v>
      </c>
      <c r="G351" s="96">
        <f>ROUND((1-RevenueTableAnswer[[#This Row],[Discount on Total Revenue]])*RevenueTableAnswer[[#This Row],[Total Revenue]],2)</f>
        <v>1168.9000000000001</v>
      </c>
    </row>
    <row r="352" spans="1:7" x14ac:dyDescent="0.3">
      <c r="A352" s="101">
        <v>43042</v>
      </c>
      <c r="B352" s="96" t="s">
        <v>13</v>
      </c>
      <c r="C352" s="96">
        <v>84</v>
      </c>
      <c r="D352" s="59">
        <v>14.95</v>
      </c>
      <c r="E352" s="59">
        <v>1255.8</v>
      </c>
      <c r="F352" s="96">
        <f>VLOOKUP(RevenueTableAnswer[[#This Row],[Units Sold]],DiscountTableAnswer[],2)</f>
        <v>0.375</v>
      </c>
      <c r="G352" s="96">
        <f>ROUND((1-RevenueTableAnswer[[#This Row],[Discount on Total Revenue]])*RevenueTableAnswer[[#This Row],[Total Revenue]],2)</f>
        <v>784.88</v>
      </c>
    </row>
    <row r="353" spans="1:7" x14ac:dyDescent="0.3">
      <c r="A353" s="101">
        <v>43041</v>
      </c>
      <c r="B353" s="96" t="s">
        <v>8</v>
      </c>
      <c r="C353" s="96">
        <v>128</v>
      </c>
      <c r="D353" s="59">
        <v>21.95</v>
      </c>
      <c r="E353" s="59">
        <v>2809.6</v>
      </c>
      <c r="F353" s="96">
        <f>VLOOKUP(RevenueTableAnswer[[#This Row],[Units Sold]],DiscountTableAnswer[],2)</f>
        <v>0.4375</v>
      </c>
      <c r="G353" s="96">
        <f>ROUND((1-RevenueTableAnswer[[#This Row],[Discount on Total Revenue]])*RevenueTableAnswer[[#This Row],[Total Revenue]],2)</f>
        <v>1580.4</v>
      </c>
    </row>
    <row r="354" spans="1:7" x14ac:dyDescent="0.3">
      <c r="A354" s="101">
        <v>43045</v>
      </c>
      <c r="B354" s="96" t="s">
        <v>5</v>
      </c>
      <c r="C354" s="96">
        <v>139</v>
      </c>
      <c r="D354" s="59">
        <v>22.95</v>
      </c>
      <c r="E354" s="59">
        <v>3190.0499999999997</v>
      </c>
      <c r="F354" s="96">
        <f>VLOOKUP(RevenueTableAnswer[[#This Row],[Units Sold]],DiscountTableAnswer[],2)</f>
        <v>0.4375</v>
      </c>
      <c r="G354" s="96">
        <f>ROUND((1-RevenueTableAnswer[[#This Row],[Discount on Total Revenue]])*RevenueTableAnswer[[#This Row],[Total Revenue]],2)</f>
        <v>1794.4</v>
      </c>
    </row>
    <row r="355" spans="1:7" x14ac:dyDescent="0.3">
      <c r="A355" s="101">
        <v>43046</v>
      </c>
      <c r="B355" s="96" t="s">
        <v>5</v>
      </c>
      <c r="C355" s="96">
        <v>66</v>
      </c>
      <c r="D355" s="59">
        <v>22.95</v>
      </c>
      <c r="E355" s="59">
        <v>1514.7</v>
      </c>
      <c r="F355" s="96">
        <f>VLOOKUP(RevenueTableAnswer[[#This Row],[Units Sold]],DiscountTableAnswer[],2)</f>
        <v>0.375</v>
      </c>
      <c r="G355" s="96">
        <f>ROUND((1-RevenueTableAnswer[[#This Row],[Discount on Total Revenue]])*RevenueTableAnswer[[#This Row],[Total Revenue]],2)</f>
        <v>946.69</v>
      </c>
    </row>
    <row r="356" spans="1:7" x14ac:dyDescent="0.3">
      <c r="A356" s="101">
        <v>43047</v>
      </c>
      <c r="B356" s="96" t="s">
        <v>7</v>
      </c>
      <c r="C356" s="96">
        <v>84</v>
      </c>
      <c r="D356" s="59">
        <v>43.95</v>
      </c>
      <c r="E356" s="59">
        <v>3691.8</v>
      </c>
      <c r="F356" s="96">
        <f>VLOOKUP(RevenueTableAnswer[[#This Row],[Units Sold]],DiscountTableAnswer[],2)</f>
        <v>0.375</v>
      </c>
      <c r="G356" s="96">
        <f>ROUND((1-RevenueTableAnswer[[#This Row],[Discount on Total Revenue]])*RevenueTableAnswer[[#This Row],[Total Revenue]],2)</f>
        <v>2307.38</v>
      </c>
    </row>
    <row r="357" spans="1:7" x14ac:dyDescent="0.3">
      <c r="A357" s="101">
        <v>43045</v>
      </c>
      <c r="B357" s="96" t="s">
        <v>7</v>
      </c>
      <c r="C357" s="96">
        <v>149</v>
      </c>
      <c r="D357" s="59">
        <v>43.95</v>
      </c>
      <c r="E357" s="59">
        <v>6548.55</v>
      </c>
      <c r="F357" s="96">
        <f>VLOOKUP(RevenueTableAnswer[[#This Row],[Units Sold]],DiscountTableAnswer[],2)</f>
        <v>0.5</v>
      </c>
      <c r="G357" s="96">
        <f>ROUND((1-RevenueTableAnswer[[#This Row],[Discount on Total Revenue]])*RevenueTableAnswer[[#This Row],[Total Revenue]],2)</f>
        <v>3274.28</v>
      </c>
    </row>
    <row r="358" spans="1:7" x14ac:dyDescent="0.3">
      <c r="A358" s="101">
        <v>43043</v>
      </c>
      <c r="B358" s="96" t="s">
        <v>5</v>
      </c>
      <c r="C358" s="96">
        <v>120</v>
      </c>
      <c r="D358" s="59">
        <v>22.95</v>
      </c>
      <c r="E358" s="59">
        <v>2754</v>
      </c>
      <c r="F358" s="96">
        <f>VLOOKUP(RevenueTableAnswer[[#This Row],[Units Sold]],DiscountTableAnswer[],2)</f>
        <v>0.4375</v>
      </c>
      <c r="G358" s="96">
        <f>ROUND((1-RevenueTableAnswer[[#This Row],[Discount on Total Revenue]])*RevenueTableAnswer[[#This Row],[Total Revenue]],2)</f>
        <v>1549.13</v>
      </c>
    </row>
    <row r="359" spans="1:7" x14ac:dyDescent="0.3">
      <c r="A359" s="101">
        <v>43044</v>
      </c>
      <c r="B359" s="96" t="s">
        <v>8</v>
      </c>
      <c r="C359" s="96">
        <v>135</v>
      </c>
      <c r="D359" s="59">
        <v>21.95</v>
      </c>
      <c r="E359" s="59">
        <v>2963.25</v>
      </c>
      <c r="F359" s="96">
        <f>VLOOKUP(RevenueTableAnswer[[#This Row],[Units Sold]],DiscountTableAnswer[],2)</f>
        <v>0.4375</v>
      </c>
      <c r="G359" s="96">
        <f>ROUND((1-RevenueTableAnswer[[#This Row],[Discount on Total Revenue]])*RevenueTableAnswer[[#This Row],[Total Revenue]],2)</f>
        <v>1666.83</v>
      </c>
    </row>
    <row r="360" spans="1:7" x14ac:dyDescent="0.3">
      <c r="A360" s="101">
        <v>43043</v>
      </c>
      <c r="B360" s="96" t="s">
        <v>8</v>
      </c>
      <c r="C360" s="96">
        <v>84</v>
      </c>
      <c r="D360" s="59">
        <v>21.95</v>
      </c>
      <c r="E360" s="59">
        <v>1843.8</v>
      </c>
      <c r="F360" s="96">
        <f>VLOOKUP(RevenueTableAnswer[[#This Row],[Units Sold]],DiscountTableAnswer[],2)</f>
        <v>0.375</v>
      </c>
      <c r="G360" s="96">
        <f>ROUND((1-RevenueTableAnswer[[#This Row],[Discount on Total Revenue]])*RevenueTableAnswer[[#This Row],[Total Revenue]],2)</f>
        <v>1152.3800000000001</v>
      </c>
    </row>
    <row r="361" spans="1:7" x14ac:dyDescent="0.3">
      <c r="A361" s="101">
        <v>43044</v>
      </c>
      <c r="B361" s="96" t="s">
        <v>5</v>
      </c>
      <c r="C361" s="96">
        <v>120</v>
      </c>
      <c r="D361" s="59">
        <v>22.95</v>
      </c>
      <c r="E361" s="59">
        <v>2754</v>
      </c>
      <c r="F361" s="96">
        <f>VLOOKUP(RevenueTableAnswer[[#This Row],[Units Sold]],DiscountTableAnswer[],2)</f>
        <v>0.4375</v>
      </c>
      <c r="G361" s="96">
        <f>ROUND((1-RevenueTableAnswer[[#This Row],[Discount on Total Revenue]])*RevenueTableAnswer[[#This Row],[Total Revenue]],2)</f>
        <v>1549.13</v>
      </c>
    </row>
    <row r="362" spans="1:7" x14ac:dyDescent="0.3">
      <c r="A362" s="101">
        <v>43041</v>
      </c>
      <c r="B362" s="96" t="s">
        <v>8</v>
      </c>
      <c r="C362" s="96">
        <v>29</v>
      </c>
      <c r="D362" s="59">
        <v>21.95</v>
      </c>
      <c r="E362" s="59">
        <v>636.54999999999995</v>
      </c>
      <c r="F362" s="96">
        <f>VLOOKUP(RevenueTableAnswer[[#This Row],[Units Sold]],DiscountTableAnswer[],2)</f>
        <v>0.25</v>
      </c>
      <c r="G362" s="96">
        <f>ROUND((1-RevenueTableAnswer[[#This Row],[Discount on Total Revenue]])*RevenueTableAnswer[[#This Row],[Total Revenue]],2)</f>
        <v>477.41</v>
      </c>
    </row>
    <row r="363" spans="1:7" x14ac:dyDescent="0.3">
      <c r="A363" s="101">
        <v>43040</v>
      </c>
      <c r="B363" s="96" t="s">
        <v>5</v>
      </c>
      <c r="C363" s="96">
        <v>113</v>
      </c>
      <c r="D363" s="59">
        <v>22.95</v>
      </c>
      <c r="E363" s="59">
        <v>2593.35</v>
      </c>
      <c r="F363" s="96">
        <f>VLOOKUP(RevenueTableAnswer[[#This Row],[Units Sold]],DiscountTableAnswer[],2)</f>
        <v>0.4375</v>
      </c>
      <c r="G363" s="96">
        <f>ROUND((1-RevenueTableAnswer[[#This Row],[Discount on Total Revenue]])*RevenueTableAnswer[[#This Row],[Total Revenue]],2)</f>
        <v>1458.76</v>
      </c>
    </row>
    <row r="364" spans="1:7" x14ac:dyDescent="0.3">
      <c r="A364" s="101">
        <v>43046</v>
      </c>
      <c r="B364" s="96" t="s">
        <v>7</v>
      </c>
      <c r="C364" s="96">
        <v>5</v>
      </c>
      <c r="D364" s="59">
        <v>43.95</v>
      </c>
      <c r="E364" s="59">
        <v>219.75</v>
      </c>
      <c r="F364" s="96">
        <f>VLOOKUP(RevenueTableAnswer[[#This Row],[Units Sold]],DiscountTableAnswer[],2)</f>
        <v>0</v>
      </c>
      <c r="G364" s="96">
        <f>ROUND((1-RevenueTableAnswer[[#This Row],[Discount on Total Revenue]])*RevenueTableAnswer[[#This Row],[Total Revenue]],2)</f>
        <v>219.75</v>
      </c>
    </row>
    <row r="365" spans="1:7" x14ac:dyDescent="0.3">
      <c r="A365" s="101">
        <v>43045</v>
      </c>
      <c r="B365" s="96" t="s">
        <v>8</v>
      </c>
      <c r="C365" s="96">
        <v>10</v>
      </c>
      <c r="D365" s="59">
        <v>21.95</v>
      </c>
      <c r="E365" s="59">
        <v>219.5</v>
      </c>
      <c r="F365" s="96">
        <f>VLOOKUP(RevenueTableAnswer[[#This Row],[Units Sold]],DiscountTableAnswer[],2)</f>
        <v>0</v>
      </c>
      <c r="G365" s="96">
        <f>ROUND((1-RevenueTableAnswer[[#This Row],[Discount on Total Revenue]])*RevenueTableAnswer[[#This Row],[Total Revenue]],2)</f>
        <v>219.5</v>
      </c>
    </row>
    <row r="366" spans="1:7" x14ac:dyDescent="0.3">
      <c r="A366" s="101">
        <v>43041</v>
      </c>
      <c r="B366" s="96" t="s">
        <v>8</v>
      </c>
      <c r="C366" s="96">
        <v>184</v>
      </c>
      <c r="D366" s="59">
        <v>21.95</v>
      </c>
      <c r="E366" s="59">
        <v>4038.7999999999997</v>
      </c>
      <c r="F366" s="96">
        <f>VLOOKUP(RevenueTableAnswer[[#This Row],[Units Sold]],DiscountTableAnswer[],2)</f>
        <v>0.55000000000000004</v>
      </c>
      <c r="G366" s="96">
        <f>ROUND((1-RevenueTableAnswer[[#This Row],[Discount on Total Revenue]])*RevenueTableAnswer[[#This Row],[Total Revenue]],2)</f>
        <v>1817.46</v>
      </c>
    </row>
    <row r="367" spans="1:7" x14ac:dyDescent="0.3">
      <c r="A367" s="101">
        <v>43040</v>
      </c>
      <c r="B367" s="96" t="s">
        <v>8</v>
      </c>
      <c r="C367" s="96">
        <v>45</v>
      </c>
      <c r="D367" s="59">
        <v>21.95</v>
      </c>
      <c r="E367" s="59">
        <v>987.75</v>
      </c>
      <c r="F367" s="96">
        <f>VLOOKUP(RevenueTableAnswer[[#This Row],[Units Sold]],DiscountTableAnswer[],2)</f>
        <v>0.25</v>
      </c>
      <c r="G367" s="96">
        <f>ROUND((1-RevenueTableAnswer[[#This Row],[Discount on Total Revenue]])*RevenueTableAnswer[[#This Row],[Total Revenue]],2)</f>
        <v>740.81</v>
      </c>
    </row>
    <row r="368" spans="1:7" x14ac:dyDescent="0.3">
      <c r="A368" s="101">
        <v>43042</v>
      </c>
      <c r="B368" s="96" t="s">
        <v>13</v>
      </c>
      <c r="C368" s="96">
        <v>39</v>
      </c>
      <c r="D368" s="59">
        <v>14.95</v>
      </c>
      <c r="E368" s="59">
        <v>583.04999999999995</v>
      </c>
      <c r="F368" s="96">
        <f>VLOOKUP(RevenueTableAnswer[[#This Row],[Units Sold]],DiscountTableAnswer[],2)</f>
        <v>0.25</v>
      </c>
      <c r="G368" s="96">
        <f>ROUND((1-RevenueTableAnswer[[#This Row],[Discount on Total Revenue]])*RevenueTableAnswer[[#This Row],[Total Revenue]],2)</f>
        <v>437.29</v>
      </c>
    </row>
    <row r="369" spans="1:7" x14ac:dyDescent="0.3">
      <c r="A369" s="101">
        <v>43040</v>
      </c>
      <c r="B369" s="96" t="s">
        <v>5</v>
      </c>
      <c r="C369" s="96">
        <v>55</v>
      </c>
      <c r="D369" s="59">
        <v>22.95</v>
      </c>
      <c r="E369" s="59">
        <v>1262.25</v>
      </c>
      <c r="F369" s="96">
        <f>VLOOKUP(RevenueTableAnswer[[#This Row],[Units Sold]],DiscountTableAnswer[],2)</f>
        <v>0.375</v>
      </c>
      <c r="G369" s="96">
        <f>ROUND((1-RevenueTableAnswer[[#This Row],[Discount on Total Revenue]])*RevenueTableAnswer[[#This Row],[Total Revenue]],2)</f>
        <v>788.91</v>
      </c>
    </row>
    <row r="370" spans="1:7" x14ac:dyDescent="0.3">
      <c r="A370" s="101">
        <v>43042</v>
      </c>
      <c r="B370" s="96" t="s">
        <v>13</v>
      </c>
      <c r="C370" s="96">
        <v>185</v>
      </c>
      <c r="D370" s="59">
        <v>14.95</v>
      </c>
      <c r="E370" s="59">
        <v>2765.75</v>
      </c>
      <c r="F370" s="96">
        <f>VLOOKUP(RevenueTableAnswer[[#This Row],[Units Sold]],DiscountTableAnswer[],2)</f>
        <v>0.55000000000000004</v>
      </c>
      <c r="G370" s="96">
        <f>ROUND((1-RevenueTableAnswer[[#This Row],[Discount on Total Revenue]])*RevenueTableAnswer[[#This Row],[Total Revenue]],2)</f>
        <v>1244.5899999999999</v>
      </c>
    </row>
    <row r="371" spans="1:7" x14ac:dyDescent="0.3">
      <c r="A371" s="101">
        <v>43045</v>
      </c>
      <c r="B371" s="96" t="s">
        <v>5</v>
      </c>
      <c r="C371" s="96">
        <v>22</v>
      </c>
      <c r="D371" s="59">
        <v>22.95</v>
      </c>
      <c r="E371" s="59">
        <v>504.9</v>
      </c>
      <c r="F371" s="96">
        <f>VLOOKUP(RevenueTableAnswer[[#This Row],[Units Sold]],DiscountTableAnswer[],2)</f>
        <v>0.25</v>
      </c>
      <c r="G371" s="96">
        <f>ROUND((1-RevenueTableAnswer[[#This Row],[Discount on Total Revenue]])*RevenueTableAnswer[[#This Row],[Total Revenue]],2)</f>
        <v>378.68</v>
      </c>
    </row>
    <row r="372" spans="1:7" x14ac:dyDescent="0.3">
      <c r="A372" s="101">
        <v>43040</v>
      </c>
      <c r="B372" s="96" t="s">
        <v>7</v>
      </c>
      <c r="C372" s="96">
        <v>103</v>
      </c>
      <c r="D372" s="59">
        <v>43.95</v>
      </c>
      <c r="E372" s="59">
        <v>4526.8500000000004</v>
      </c>
      <c r="F372" s="96">
        <f>VLOOKUP(RevenueTableAnswer[[#This Row],[Units Sold]],DiscountTableAnswer[],2)</f>
        <v>0.4375</v>
      </c>
      <c r="G372" s="96">
        <f>ROUND((1-RevenueTableAnswer[[#This Row],[Discount on Total Revenue]])*RevenueTableAnswer[[#This Row],[Total Revenue]],2)</f>
        <v>2546.35</v>
      </c>
    </row>
    <row r="373" spans="1:7" x14ac:dyDescent="0.3">
      <c r="A373" s="101">
        <v>43042</v>
      </c>
      <c r="B373" s="96" t="s">
        <v>5</v>
      </c>
      <c r="C373" s="96">
        <v>149</v>
      </c>
      <c r="D373" s="59">
        <v>22.95</v>
      </c>
      <c r="E373" s="59">
        <v>3419.5499999999997</v>
      </c>
      <c r="F373" s="96">
        <f>VLOOKUP(RevenueTableAnswer[[#This Row],[Units Sold]],DiscountTableAnswer[],2)</f>
        <v>0.5</v>
      </c>
      <c r="G373" s="96">
        <f>ROUND((1-RevenueTableAnswer[[#This Row],[Discount on Total Revenue]])*RevenueTableAnswer[[#This Row],[Total Revenue]],2)</f>
        <v>1709.78</v>
      </c>
    </row>
    <row r="374" spans="1:7" x14ac:dyDescent="0.3">
      <c r="A374" s="101">
        <v>43046</v>
      </c>
      <c r="B374" s="96" t="s">
        <v>8</v>
      </c>
      <c r="C374" s="96">
        <v>70</v>
      </c>
      <c r="D374" s="59">
        <v>21.95</v>
      </c>
      <c r="E374" s="59">
        <v>1536.5</v>
      </c>
      <c r="F374" s="96">
        <f>VLOOKUP(RevenueTableAnswer[[#This Row],[Units Sold]],DiscountTableAnswer[],2)</f>
        <v>0.375</v>
      </c>
      <c r="G374" s="96">
        <f>ROUND((1-RevenueTableAnswer[[#This Row],[Discount on Total Revenue]])*RevenueTableAnswer[[#This Row],[Total Revenue]],2)</f>
        <v>960.31</v>
      </c>
    </row>
    <row r="375" spans="1:7" x14ac:dyDescent="0.3">
      <c r="A375" s="101">
        <v>43040</v>
      </c>
      <c r="B375" s="96" t="s">
        <v>13</v>
      </c>
      <c r="C375" s="96">
        <v>30</v>
      </c>
      <c r="D375" s="59">
        <v>14.95</v>
      </c>
      <c r="E375" s="59">
        <v>448.5</v>
      </c>
      <c r="F375" s="96">
        <f>VLOOKUP(RevenueTableAnswer[[#This Row],[Units Sold]],DiscountTableAnswer[],2)</f>
        <v>0.25</v>
      </c>
      <c r="G375" s="96">
        <f>ROUND((1-RevenueTableAnswer[[#This Row],[Discount on Total Revenue]])*RevenueTableAnswer[[#This Row],[Total Revenue]],2)</f>
        <v>336.38</v>
      </c>
    </row>
    <row r="376" spans="1:7" x14ac:dyDescent="0.3">
      <c r="A376" s="101">
        <v>43047</v>
      </c>
      <c r="B376" s="96" t="s">
        <v>8</v>
      </c>
      <c r="C376" s="96">
        <v>119</v>
      </c>
      <c r="D376" s="59">
        <v>21.95</v>
      </c>
      <c r="E376" s="59">
        <v>2612.0499999999997</v>
      </c>
      <c r="F376" s="96">
        <f>VLOOKUP(RevenueTableAnswer[[#This Row],[Units Sold]],DiscountTableAnswer[],2)</f>
        <v>0.4375</v>
      </c>
      <c r="G376" s="96">
        <f>ROUND((1-RevenueTableAnswer[[#This Row],[Discount on Total Revenue]])*RevenueTableAnswer[[#This Row],[Total Revenue]],2)</f>
        <v>1469.28</v>
      </c>
    </row>
    <row r="377" spans="1:7" x14ac:dyDescent="0.3">
      <c r="A377" s="101">
        <v>43045</v>
      </c>
      <c r="B377" s="96" t="s">
        <v>13</v>
      </c>
      <c r="C377" s="96">
        <v>136</v>
      </c>
      <c r="D377" s="59">
        <v>14.95</v>
      </c>
      <c r="E377" s="59">
        <v>2033.1999999999998</v>
      </c>
      <c r="F377" s="96">
        <f>VLOOKUP(RevenueTableAnswer[[#This Row],[Units Sold]],DiscountTableAnswer[],2)</f>
        <v>0.4375</v>
      </c>
      <c r="G377" s="96">
        <f>ROUND((1-RevenueTableAnswer[[#This Row],[Discount on Total Revenue]])*RevenueTableAnswer[[#This Row],[Total Revenue]],2)</f>
        <v>1143.68</v>
      </c>
    </row>
    <row r="378" spans="1:7" x14ac:dyDescent="0.3">
      <c r="A378" s="101">
        <v>43044</v>
      </c>
      <c r="B378" s="96" t="s">
        <v>13</v>
      </c>
      <c r="C378" s="96">
        <v>156</v>
      </c>
      <c r="D378" s="59">
        <v>14.95</v>
      </c>
      <c r="E378" s="59">
        <v>2332.1999999999998</v>
      </c>
      <c r="F378" s="96">
        <f>VLOOKUP(RevenueTableAnswer[[#This Row],[Units Sold]],DiscountTableAnswer[],2)</f>
        <v>0.5</v>
      </c>
      <c r="G378" s="96">
        <f>ROUND((1-RevenueTableAnswer[[#This Row],[Discount on Total Revenue]])*RevenueTableAnswer[[#This Row],[Total Revenue]],2)</f>
        <v>1166.0999999999999</v>
      </c>
    </row>
    <row r="379" spans="1:7" x14ac:dyDescent="0.3">
      <c r="A379" s="101">
        <v>43045</v>
      </c>
      <c r="B379" s="96" t="s">
        <v>7</v>
      </c>
      <c r="C379" s="96">
        <v>87</v>
      </c>
      <c r="D379" s="59">
        <v>43.95</v>
      </c>
      <c r="E379" s="59">
        <v>3823.65</v>
      </c>
      <c r="F379" s="96">
        <f>VLOOKUP(RevenueTableAnswer[[#This Row],[Units Sold]],DiscountTableAnswer[],2)</f>
        <v>0.375</v>
      </c>
      <c r="G379" s="96">
        <f>ROUND((1-RevenueTableAnswer[[#This Row],[Discount on Total Revenue]])*RevenueTableAnswer[[#This Row],[Total Revenue]],2)</f>
        <v>2389.7800000000002</v>
      </c>
    </row>
    <row r="380" spans="1:7" x14ac:dyDescent="0.3">
      <c r="A380" s="101">
        <v>43040</v>
      </c>
      <c r="B380" s="96" t="s">
        <v>5</v>
      </c>
      <c r="C380" s="96">
        <v>174</v>
      </c>
      <c r="D380" s="59">
        <v>22.95</v>
      </c>
      <c r="E380" s="59">
        <v>3993.2999999999997</v>
      </c>
      <c r="F380" s="96">
        <f>VLOOKUP(RevenueTableAnswer[[#This Row],[Units Sold]],DiscountTableAnswer[],2)</f>
        <v>0.55000000000000004</v>
      </c>
      <c r="G380" s="96">
        <f>ROUND((1-RevenueTableAnswer[[#This Row],[Discount on Total Revenue]])*RevenueTableAnswer[[#This Row],[Total Revenue]],2)</f>
        <v>1796.99</v>
      </c>
    </row>
    <row r="381" spans="1:7" x14ac:dyDescent="0.3">
      <c r="A381" s="101">
        <v>43040</v>
      </c>
      <c r="B381" s="96" t="s">
        <v>7</v>
      </c>
      <c r="C381" s="96">
        <v>188</v>
      </c>
      <c r="D381" s="59">
        <v>43.95</v>
      </c>
      <c r="E381" s="59">
        <v>8262.6</v>
      </c>
      <c r="F381" s="96">
        <f>VLOOKUP(RevenueTableAnswer[[#This Row],[Units Sold]],DiscountTableAnswer[],2)</f>
        <v>0.55000000000000004</v>
      </c>
      <c r="G381" s="96">
        <f>ROUND((1-RevenueTableAnswer[[#This Row],[Discount on Total Revenue]])*RevenueTableAnswer[[#This Row],[Total Revenue]],2)</f>
        <v>3718.17</v>
      </c>
    </row>
    <row r="382" spans="1:7" x14ac:dyDescent="0.3">
      <c r="A382" s="101">
        <v>43046</v>
      </c>
      <c r="B382" s="96" t="s">
        <v>8</v>
      </c>
      <c r="C382" s="96">
        <v>189</v>
      </c>
      <c r="D382" s="59">
        <v>21.95</v>
      </c>
      <c r="E382" s="59">
        <v>4148.55</v>
      </c>
      <c r="F382" s="96">
        <f>VLOOKUP(RevenueTableAnswer[[#This Row],[Units Sold]],DiscountTableAnswer[],2)</f>
        <v>0.55000000000000004</v>
      </c>
      <c r="G382" s="96">
        <f>ROUND((1-RevenueTableAnswer[[#This Row],[Discount on Total Revenue]])*RevenueTableAnswer[[#This Row],[Total Revenue]],2)</f>
        <v>1866.85</v>
      </c>
    </row>
    <row r="383" spans="1:7" x14ac:dyDescent="0.3">
      <c r="A383" s="101">
        <v>43040</v>
      </c>
      <c r="B383" s="96" t="s">
        <v>13</v>
      </c>
      <c r="C383" s="96">
        <v>154</v>
      </c>
      <c r="D383" s="59">
        <v>14.95</v>
      </c>
      <c r="E383" s="59">
        <v>2302.2999999999997</v>
      </c>
      <c r="F383" s="96">
        <f>VLOOKUP(RevenueTableAnswer[[#This Row],[Units Sold]],DiscountTableAnswer[],2)</f>
        <v>0.5</v>
      </c>
      <c r="G383" s="96">
        <f>ROUND((1-RevenueTableAnswer[[#This Row],[Discount on Total Revenue]])*RevenueTableAnswer[[#This Row],[Total Revenue]],2)</f>
        <v>1151.1500000000001</v>
      </c>
    </row>
    <row r="384" spans="1:7" x14ac:dyDescent="0.3">
      <c r="A384" s="101">
        <v>43040</v>
      </c>
      <c r="B384" s="96" t="s">
        <v>8</v>
      </c>
      <c r="C384" s="96">
        <v>48</v>
      </c>
      <c r="D384" s="59">
        <v>21.95</v>
      </c>
      <c r="E384" s="59">
        <v>1053.5999999999999</v>
      </c>
      <c r="F384" s="96">
        <f>VLOOKUP(RevenueTableAnswer[[#This Row],[Units Sold]],DiscountTableAnswer[],2)</f>
        <v>0.375</v>
      </c>
      <c r="G384" s="96">
        <f>ROUND((1-RevenueTableAnswer[[#This Row],[Discount on Total Revenue]])*RevenueTableAnswer[[#This Row],[Total Revenue]],2)</f>
        <v>658.5</v>
      </c>
    </row>
    <row r="385" spans="1:7" x14ac:dyDescent="0.3">
      <c r="A385" s="101">
        <v>43041</v>
      </c>
      <c r="B385" s="96" t="s">
        <v>7</v>
      </c>
      <c r="C385" s="96">
        <v>61</v>
      </c>
      <c r="D385" s="59">
        <v>43.95</v>
      </c>
      <c r="E385" s="59">
        <v>2680.9500000000003</v>
      </c>
      <c r="F385" s="96">
        <f>VLOOKUP(RevenueTableAnswer[[#This Row],[Units Sold]],DiscountTableAnswer[],2)</f>
        <v>0.375</v>
      </c>
      <c r="G385" s="96">
        <f>ROUND((1-RevenueTableAnswer[[#This Row],[Discount on Total Revenue]])*RevenueTableAnswer[[#This Row],[Total Revenue]],2)</f>
        <v>1675.59</v>
      </c>
    </row>
    <row r="386" spans="1:7" x14ac:dyDescent="0.3">
      <c r="A386" s="101">
        <v>43043</v>
      </c>
      <c r="B386" s="96" t="s">
        <v>7</v>
      </c>
      <c r="C386" s="96">
        <v>73</v>
      </c>
      <c r="D386" s="59">
        <v>43.95</v>
      </c>
      <c r="E386" s="59">
        <v>3208.3500000000004</v>
      </c>
      <c r="F386" s="96">
        <f>VLOOKUP(RevenueTableAnswer[[#This Row],[Units Sold]],DiscountTableAnswer[],2)</f>
        <v>0.375</v>
      </c>
      <c r="G386" s="96">
        <f>ROUND((1-RevenueTableAnswer[[#This Row],[Discount on Total Revenue]])*RevenueTableAnswer[[#This Row],[Total Revenue]],2)</f>
        <v>2005.22</v>
      </c>
    </row>
    <row r="387" spans="1:7" x14ac:dyDescent="0.3">
      <c r="A387" s="101">
        <v>43045</v>
      </c>
      <c r="B387" s="96" t="s">
        <v>5</v>
      </c>
      <c r="C387" s="96">
        <v>122</v>
      </c>
      <c r="D387" s="59">
        <v>22.95</v>
      </c>
      <c r="E387" s="59">
        <v>2799.9</v>
      </c>
      <c r="F387" s="96">
        <f>VLOOKUP(RevenueTableAnswer[[#This Row],[Units Sold]],DiscountTableAnswer[],2)</f>
        <v>0.4375</v>
      </c>
      <c r="G387" s="96">
        <f>ROUND((1-RevenueTableAnswer[[#This Row],[Discount on Total Revenue]])*RevenueTableAnswer[[#This Row],[Total Revenue]],2)</f>
        <v>1574.94</v>
      </c>
    </row>
    <row r="388" spans="1:7" x14ac:dyDescent="0.3">
      <c r="A388" s="101">
        <v>43045</v>
      </c>
      <c r="B388" s="96" t="s">
        <v>7</v>
      </c>
      <c r="C388" s="96">
        <v>67</v>
      </c>
      <c r="D388" s="59">
        <v>43.95</v>
      </c>
      <c r="E388" s="59">
        <v>2944.65</v>
      </c>
      <c r="F388" s="96">
        <f>VLOOKUP(RevenueTableAnswer[[#This Row],[Units Sold]],DiscountTableAnswer[],2)</f>
        <v>0.375</v>
      </c>
      <c r="G388" s="96">
        <f>ROUND((1-RevenueTableAnswer[[#This Row],[Discount on Total Revenue]])*RevenueTableAnswer[[#This Row],[Total Revenue]],2)</f>
        <v>1840.41</v>
      </c>
    </row>
    <row r="389" spans="1:7" x14ac:dyDescent="0.3">
      <c r="A389" s="101">
        <v>43041</v>
      </c>
      <c r="B389" s="96" t="s">
        <v>7</v>
      </c>
      <c r="C389" s="96">
        <v>190</v>
      </c>
      <c r="D389" s="59">
        <v>43.95</v>
      </c>
      <c r="E389" s="59">
        <v>8350.5</v>
      </c>
      <c r="F389" s="96">
        <f>VLOOKUP(RevenueTableAnswer[[#This Row],[Units Sold]],DiscountTableAnswer[],2)</f>
        <v>0.55000000000000004</v>
      </c>
      <c r="G389" s="96">
        <f>ROUND((1-RevenueTableAnswer[[#This Row],[Discount on Total Revenue]])*RevenueTableAnswer[[#This Row],[Total Revenue]],2)</f>
        <v>3757.73</v>
      </c>
    </row>
    <row r="390" spans="1:7" x14ac:dyDescent="0.3">
      <c r="A390" s="101">
        <v>43047</v>
      </c>
      <c r="B390" s="96" t="s">
        <v>8</v>
      </c>
      <c r="C390" s="96">
        <v>154</v>
      </c>
      <c r="D390" s="59">
        <v>21.95</v>
      </c>
      <c r="E390" s="59">
        <v>3380.2999999999997</v>
      </c>
      <c r="F390" s="96">
        <f>VLOOKUP(RevenueTableAnswer[[#This Row],[Units Sold]],DiscountTableAnswer[],2)</f>
        <v>0.5</v>
      </c>
      <c r="G390" s="96">
        <f>ROUND((1-RevenueTableAnswer[[#This Row],[Discount on Total Revenue]])*RevenueTableAnswer[[#This Row],[Total Revenue]],2)</f>
        <v>1690.15</v>
      </c>
    </row>
    <row r="391" spans="1:7" x14ac:dyDescent="0.3">
      <c r="A391" s="101">
        <v>43044</v>
      </c>
      <c r="B391" s="96" t="s">
        <v>13</v>
      </c>
      <c r="C391" s="96">
        <v>177</v>
      </c>
      <c r="D391" s="59">
        <v>14.95</v>
      </c>
      <c r="E391" s="59">
        <v>2646.15</v>
      </c>
      <c r="F391" s="96">
        <f>VLOOKUP(RevenueTableAnswer[[#This Row],[Units Sold]],DiscountTableAnswer[],2)</f>
        <v>0.55000000000000004</v>
      </c>
      <c r="G391" s="96">
        <f>ROUND((1-RevenueTableAnswer[[#This Row],[Discount on Total Revenue]])*RevenueTableAnswer[[#This Row],[Total Revenue]],2)</f>
        <v>1190.77</v>
      </c>
    </row>
    <row r="392" spans="1:7" x14ac:dyDescent="0.3">
      <c r="A392" s="101">
        <v>43046</v>
      </c>
      <c r="B392" s="96" t="s">
        <v>13</v>
      </c>
      <c r="C392" s="96">
        <v>48</v>
      </c>
      <c r="D392" s="59">
        <v>14.95</v>
      </c>
      <c r="E392" s="59">
        <v>717.59999999999991</v>
      </c>
      <c r="F392" s="96">
        <f>VLOOKUP(RevenueTableAnswer[[#This Row],[Units Sold]],DiscountTableAnswer[],2)</f>
        <v>0.375</v>
      </c>
      <c r="G392" s="96">
        <f>ROUND((1-RevenueTableAnswer[[#This Row],[Discount on Total Revenue]])*RevenueTableAnswer[[#This Row],[Total Revenue]],2)</f>
        <v>448.5</v>
      </c>
    </row>
    <row r="393" spans="1:7" x14ac:dyDescent="0.3">
      <c r="A393" s="101">
        <v>43043</v>
      </c>
      <c r="B393" s="96" t="s">
        <v>7</v>
      </c>
      <c r="C393" s="96">
        <v>83</v>
      </c>
      <c r="D393" s="59">
        <v>43.95</v>
      </c>
      <c r="E393" s="59">
        <v>3647.8500000000004</v>
      </c>
      <c r="F393" s="96">
        <f>VLOOKUP(RevenueTableAnswer[[#This Row],[Units Sold]],DiscountTableAnswer[],2)</f>
        <v>0.375</v>
      </c>
      <c r="G393" s="96">
        <f>ROUND((1-RevenueTableAnswer[[#This Row],[Discount on Total Revenue]])*RevenueTableAnswer[[#This Row],[Total Revenue]],2)</f>
        <v>2279.91</v>
      </c>
    </row>
    <row r="394" spans="1:7" x14ac:dyDescent="0.3">
      <c r="A394" s="101">
        <v>43043</v>
      </c>
      <c r="B394" s="96" t="s">
        <v>8</v>
      </c>
      <c r="C394" s="96">
        <v>116</v>
      </c>
      <c r="D394" s="59">
        <v>21.95</v>
      </c>
      <c r="E394" s="59">
        <v>2546.1999999999998</v>
      </c>
      <c r="F394" s="96">
        <f>VLOOKUP(RevenueTableAnswer[[#This Row],[Units Sold]],DiscountTableAnswer[],2)</f>
        <v>0.4375</v>
      </c>
      <c r="G394" s="96">
        <f>ROUND((1-RevenueTableAnswer[[#This Row],[Discount on Total Revenue]])*RevenueTableAnswer[[#This Row],[Total Revenue]],2)</f>
        <v>1432.24</v>
      </c>
    </row>
    <row r="395" spans="1:7" x14ac:dyDescent="0.3">
      <c r="A395" s="101">
        <v>43043</v>
      </c>
      <c r="B395" s="96" t="s">
        <v>5</v>
      </c>
      <c r="C395" s="96">
        <v>20</v>
      </c>
      <c r="D395" s="59">
        <v>22.95</v>
      </c>
      <c r="E395" s="59">
        <v>459</v>
      </c>
      <c r="F395" s="96">
        <f>VLOOKUP(RevenueTableAnswer[[#This Row],[Units Sold]],DiscountTableAnswer[],2)</f>
        <v>0.25</v>
      </c>
      <c r="G395" s="96">
        <f>ROUND((1-RevenueTableAnswer[[#This Row],[Discount on Total Revenue]])*RevenueTableAnswer[[#This Row],[Total Revenue]],2)</f>
        <v>344.25</v>
      </c>
    </row>
    <row r="396" spans="1:7" x14ac:dyDescent="0.3">
      <c r="A396" s="101">
        <v>43042</v>
      </c>
      <c r="B396" s="96" t="s">
        <v>5</v>
      </c>
      <c r="C396" s="96">
        <v>146</v>
      </c>
      <c r="D396" s="59">
        <v>22.95</v>
      </c>
      <c r="E396" s="59">
        <v>3350.7</v>
      </c>
      <c r="F396" s="96">
        <f>VLOOKUP(RevenueTableAnswer[[#This Row],[Units Sold]],DiscountTableAnswer[],2)</f>
        <v>0.5</v>
      </c>
      <c r="G396" s="96">
        <f>ROUND((1-RevenueTableAnswer[[#This Row],[Discount on Total Revenue]])*RevenueTableAnswer[[#This Row],[Total Revenue]],2)</f>
        <v>1675.35</v>
      </c>
    </row>
    <row r="397" spans="1:7" x14ac:dyDescent="0.3">
      <c r="A397" s="101">
        <v>43041</v>
      </c>
      <c r="B397" s="96" t="s">
        <v>5</v>
      </c>
      <c r="C397" s="96">
        <v>176</v>
      </c>
      <c r="D397" s="59">
        <v>22.95</v>
      </c>
      <c r="E397" s="59">
        <v>4039.2</v>
      </c>
      <c r="F397" s="96">
        <f>VLOOKUP(RevenueTableAnswer[[#This Row],[Units Sold]],DiscountTableAnswer[],2)</f>
        <v>0.55000000000000004</v>
      </c>
      <c r="G397" s="96">
        <f>ROUND((1-RevenueTableAnswer[[#This Row],[Discount on Total Revenue]])*RevenueTableAnswer[[#This Row],[Total Revenue]],2)</f>
        <v>1817.64</v>
      </c>
    </row>
    <row r="398" spans="1:7" x14ac:dyDescent="0.3">
      <c r="A398" s="101">
        <v>43040</v>
      </c>
      <c r="B398" s="96" t="s">
        <v>7</v>
      </c>
      <c r="C398" s="96">
        <v>40</v>
      </c>
      <c r="D398" s="59">
        <v>43.95</v>
      </c>
      <c r="E398" s="59">
        <v>1758</v>
      </c>
      <c r="F398" s="96">
        <f>VLOOKUP(RevenueTableAnswer[[#This Row],[Units Sold]],DiscountTableAnswer[],2)</f>
        <v>0.25</v>
      </c>
      <c r="G398" s="96">
        <f>ROUND((1-RevenueTableAnswer[[#This Row],[Discount on Total Revenue]])*RevenueTableAnswer[[#This Row],[Total Revenue]],2)</f>
        <v>1318.5</v>
      </c>
    </row>
    <row r="399" spans="1:7" x14ac:dyDescent="0.3">
      <c r="A399" s="101">
        <v>43043</v>
      </c>
      <c r="B399" s="96" t="s">
        <v>8</v>
      </c>
      <c r="C399" s="96">
        <v>29</v>
      </c>
      <c r="D399" s="59">
        <v>21.95</v>
      </c>
      <c r="E399" s="59">
        <v>636.54999999999995</v>
      </c>
      <c r="F399" s="96">
        <f>VLOOKUP(RevenueTableAnswer[[#This Row],[Units Sold]],DiscountTableAnswer[],2)</f>
        <v>0.25</v>
      </c>
      <c r="G399" s="96">
        <f>ROUND((1-RevenueTableAnswer[[#This Row],[Discount on Total Revenue]])*RevenueTableAnswer[[#This Row],[Total Revenue]],2)</f>
        <v>477.41</v>
      </c>
    </row>
    <row r="400" spans="1:7" x14ac:dyDescent="0.3">
      <c r="A400" s="101">
        <v>43044</v>
      </c>
      <c r="B400" s="96" t="s">
        <v>7</v>
      </c>
      <c r="C400" s="96">
        <v>65</v>
      </c>
      <c r="D400" s="59">
        <v>43.95</v>
      </c>
      <c r="E400" s="59">
        <v>2856.75</v>
      </c>
      <c r="F400" s="96">
        <f>VLOOKUP(RevenueTableAnswer[[#This Row],[Units Sold]],DiscountTableAnswer[],2)</f>
        <v>0.375</v>
      </c>
      <c r="G400" s="96">
        <f>ROUND((1-RevenueTableAnswer[[#This Row],[Discount on Total Revenue]])*RevenueTableAnswer[[#This Row],[Total Revenue]],2)</f>
        <v>1785.47</v>
      </c>
    </row>
    <row r="401" spans="1:7" x14ac:dyDescent="0.3">
      <c r="A401" s="101">
        <v>43045</v>
      </c>
      <c r="B401" s="96" t="s">
        <v>5</v>
      </c>
      <c r="C401" s="96">
        <v>21</v>
      </c>
      <c r="D401" s="59">
        <v>22.95</v>
      </c>
      <c r="E401" s="59">
        <v>481.95</v>
      </c>
      <c r="F401" s="96">
        <f>VLOOKUP(RevenueTableAnswer[[#This Row],[Units Sold]],DiscountTableAnswer[],2)</f>
        <v>0.25</v>
      </c>
      <c r="G401" s="96">
        <f>ROUND((1-RevenueTableAnswer[[#This Row],[Discount on Total Revenue]])*RevenueTableAnswer[[#This Row],[Total Revenue]],2)</f>
        <v>361.46</v>
      </c>
    </row>
    <row r="402" spans="1:7" x14ac:dyDescent="0.3">
      <c r="A402" s="101">
        <v>43043</v>
      </c>
      <c r="B402" s="96" t="s">
        <v>5</v>
      </c>
      <c r="C402" s="96">
        <v>64</v>
      </c>
      <c r="D402" s="59">
        <v>22.95</v>
      </c>
      <c r="E402" s="59">
        <v>1468.8</v>
      </c>
      <c r="F402" s="96">
        <f>VLOOKUP(RevenueTableAnswer[[#This Row],[Units Sold]],DiscountTableAnswer[],2)</f>
        <v>0.375</v>
      </c>
      <c r="G402" s="96">
        <f>ROUND((1-RevenueTableAnswer[[#This Row],[Discount on Total Revenue]])*RevenueTableAnswer[[#This Row],[Total Revenue]],2)</f>
        <v>918</v>
      </c>
    </row>
    <row r="403" spans="1:7" x14ac:dyDescent="0.3">
      <c r="A403" s="101">
        <v>43040</v>
      </c>
      <c r="B403" s="96" t="s">
        <v>8</v>
      </c>
      <c r="C403" s="96">
        <v>137</v>
      </c>
      <c r="D403" s="59">
        <v>21.95</v>
      </c>
      <c r="E403" s="59">
        <v>3007.15</v>
      </c>
      <c r="F403" s="96">
        <f>VLOOKUP(RevenueTableAnswer[[#This Row],[Units Sold]],DiscountTableAnswer[],2)</f>
        <v>0.4375</v>
      </c>
      <c r="G403" s="96">
        <f>ROUND((1-RevenueTableAnswer[[#This Row],[Discount on Total Revenue]])*RevenueTableAnswer[[#This Row],[Total Revenue]],2)</f>
        <v>1691.52</v>
      </c>
    </row>
    <row r="404" spans="1:7" x14ac:dyDescent="0.3">
      <c r="A404" s="101">
        <v>43045</v>
      </c>
      <c r="B404" s="96" t="s">
        <v>8</v>
      </c>
      <c r="C404" s="96">
        <v>46</v>
      </c>
      <c r="D404" s="59">
        <v>21.95</v>
      </c>
      <c r="E404" s="59">
        <v>1009.6999999999999</v>
      </c>
      <c r="F404" s="96">
        <f>VLOOKUP(RevenueTableAnswer[[#This Row],[Units Sold]],DiscountTableAnswer[],2)</f>
        <v>0.25</v>
      </c>
      <c r="G404" s="96">
        <f>ROUND((1-RevenueTableAnswer[[#This Row],[Discount on Total Revenue]])*RevenueTableAnswer[[#This Row],[Total Revenue]],2)</f>
        <v>757.28</v>
      </c>
    </row>
    <row r="405" spans="1:7" x14ac:dyDescent="0.3">
      <c r="A405" s="101">
        <v>43046</v>
      </c>
      <c r="B405" s="96" t="s">
        <v>5</v>
      </c>
      <c r="C405" s="96">
        <v>176</v>
      </c>
      <c r="D405" s="59">
        <v>22.95</v>
      </c>
      <c r="E405" s="59">
        <v>4039.2</v>
      </c>
      <c r="F405" s="96">
        <f>VLOOKUP(RevenueTableAnswer[[#This Row],[Units Sold]],DiscountTableAnswer[],2)</f>
        <v>0.55000000000000004</v>
      </c>
      <c r="G405" s="96">
        <f>ROUND((1-RevenueTableAnswer[[#This Row],[Discount on Total Revenue]])*RevenueTableAnswer[[#This Row],[Total Revenue]],2)</f>
        <v>1817.64</v>
      </c>
    </row>
    <row r="406" spans="1:7" x14ac:dyDescent="0.3">
      <c r="A406" s="101">
        <v>43042</v>
      </c>
      <c r="B406" s="96" t="s">
        <v>13</v>
      </c>
      <c r="C406" s="96">
        <v>58</v>
      </c>
      <c r="D406" s="59">
        <v>14.95</v>
      </c>
      <c r="E406" s="59">
        <v>867.09999999999991</v>
      </c>
      <c r="F406" s="96">
        <f>VLOOKUP(RevenueTableAnswer[[#This Row],[Units Sold]],DiscountTableAnswer[],2)</f>
        <v>0.375</v>
      </c>
      <c r="G406" s="96">
        <f>ROUND((1-RevenueTableAnswer[[#This Row],[Discount on Total Revenue]])*RevenueTableAnswer[[#This Row],[Total Revenue]],2)</f>
        <v>541.94000000000005</v>
      </c>
    </row>
    <row r="407" spans="1:7" x14ac:dyDescent="0.3">
      <c r="A407" s="101">
        <v>43040</v>
      </c>
      <c r="B407" s="96" t="s">
        <v>13</v>
      </c>
      <c r="C407" s="96">
        <v>42</v>
      </c>
      <c r="D407" s="59">
        <v>14.95</v>
      </c>
      <c r="E407" s="59">
        <v>627.9</v>
      </c>
      <c r="F407" s="96">
        <f>VLOOKUP(RevenueTableAnswer[[#This Row],[Units Sold]],DiscountTableAnswer[],2)</f>
        <v>0.25</v>
      </c>
      <c r="G407" s="96">
        <f>ROUND((1-RevenueTableAnswer[[#This Row],[Discount on Total Revenue]])*RevenueTableAnswer[[#This Row],[Total Revenue]],2)</f>
        <v>470.93</v>
      </c>
    </row>
    <row r="408" spans="1:7" x14ac:dyDescent="0.3">
      <c r="A408" s="101">
        <v>43043</v>
      </c>
      <c r="B408" s="96" t="s">
        <v>13</v>
      </c>
      <c r="C408" s="96">
        <v>160</v>
      </c>
      <c r="D408" s="59">
        <v>14.95</v>
      </c>
      <c r="E408" s="59">
        <v>2392</v>
      </c>
      <c r="F408" s="96">
        <f>VLOOKUP(RevenueTableAnswer[[#This Row],[Units Sold]],DiscountTableAnswer[],2)</f>
        <v>0.5</v>
      </c>
      <c r="G408" s="96">
        <f>ROUND((1-RevenueTableAnswer[[#This Row],[Discount on Total Revenue]])*RevenueTableAnswer[[#This Row],[Total Revenue]],2)</f>
        <v>1196</v>
      </c>
    </row>
    <row r="409" spans="1:7" x14ac:dyDescent="0.3">
      <c r="A409" s="101">
        <v>43045</v>
      </c>
      <c r="B409" s="96" t="s">
        <v>8</v>
      </c>
      <c r="C409" s="96">
        <v>105</v>
      </c>
      <c r="D409" s="59">
        <v>21.95</v>
      </c>
      <c r="E409" s="59">
        <v>2304.75</v>
      </c>
      <c r="F409" s="96">
        <f>VLOOKUP(RevenueTableAnswer[[#This Row],[Units Sold]],DiscountTableAnswer[],2)</f>
        <v>0.4375</v>
      </c>
      <c r="G409" s="96">
        <f>ROUND((1-RevenueTableAnswer[[#This Row],[Discount on Total Revenue]])*RevenueTableAnswer[[#This Row],[Total Revenue]],2)</f>
        <v>1296.42</v>
      </c>
    </row>
    <row r="410" spans="1:7" x14ac:dyDescent="0.3">
      <c r="A410" s="101">
        <v>43042</v>
      </c>
      <c r="B410" s="96" t="s">
        <v>5</v>
      </c>
      <c r="C410" s="96">
        <v>139</v>
      </c>
      <c r="D410" s="59">
        <v>22.95</v>
      </c>
      <c r="E410" s="59">
        <v>3190.0499999999997</v>
      </c>
      <c r="F410" s="96">
        <f>VLOOKUP(RevenueTableAnswer[[#This Row],[Units Sold]],DiscountTableAnswer[],2)</f>
        <v>0.4375</v>
      </c>
      <c r="G410" s="96">
        <f>ROUND((1-RevenueTableAnswer[[#This Row],[Discount on Total Revenue]])*RevenueTableAnswer[[#This Row],[Total Revenue]],2)</f>
        <v>1794.4</v>
      </c>
    </row>
    <row r="411" spans="1:7" x14ac:dyDescent="0.3">
      <c r="A411" s="101">
        <v>43042</v>
      </c>
      <c r="B411" s="96" t="s">
        <v>8</v>
      </c>
      <c r="C411" s="96">
        <v>133</v>
      </c>
      <c r="D411" s="59">
        <v>21.95</v>
      </c>
      <c r="E411" s="59">
        <v>2919.35</v>
      </c>
      <c r="F411" s="96">
        <f>VLOOKUP(RevenueTableAnswer[[#This Row],[Units Sold]],DiscountTableAnswer[],2)</f>
        <v>0.4375</v>
      </c>
      <c r="G411" s="96">
        <f>ROUND((1-RevenueTableAnswer[[#This Row],[Discount on Total Revenue]])*RevenueTableAnswer[[#This Row],[Total Revenue]],2)</f>
        <v>1642.13</v>
      </c>
    </row>
    <row r="412" spans="1:7" x14ac:dyDescent="0.3">
      <c r="A412" s="101">
        <v>43040</v>
      </c>
      <c r="B412" s="96" t="s">
        <v>8</v>
      </c>
      <c r="C412" s="96">
        <v>21</v>
      </c>
      <c r="D412" s="59">
        <v>21.95</v>
      </c>
      <c r="E412" s="59">
        <v>460.95</v>
      </c>
      <c r="F412" s="96">
        <f>VLOOKUP(RevenueTableAnswer[[#This Row],[Units Sold]],DiscountTableAnswer[],2)</f>
        <v>0.25</v>
      </c>
      <c r="G412" s="96">
        <f>ROUND((1-RevenueTableAnswer[[#This Row],[Discount on Total Revenue]])*RevenueTableAnswer[[#This Row],[Total Revenue]],2)</f>
        <v>345.71</v>
      </c>
    </row>
    <row r="413" spans="1:7" x14ac:dyDescent="0.3">
      <c r="A413" s="101">
        <v>43047</v>
      </c>
      <c r="B413" s="96" t="s">
        <v>8</v>
      </c>
      <c r="C413" s="96">
        <v>58</v>
      </c>
      <c r="D413" s="59">
        <v>21.95</v>
      </c>
      <c r="E413" s="59">
        <v>1273.0999999999999</v>
      </c>
      <c r="F413" s="96">
        <f>VLOOKUP(RevenueTableAnswer[[#This Row],[Units Sold]],DiscountTableAnswer[],2)</f>
        <v>0.375</v>
      </c>
      <c r="G413" s="96">
        <f>ROUND((1-RevenueTableAnswer[[#This Row],[Discount on Total Revenue]])*RevenueTableAnswer[[#This Row],[Total Revenue]],2)</f>
        <v>795.69</v>
      </c>
    </row>
    <row r="414" spans="1:7" x14ac:dyDescent="0.3">
      <c r="A414" s="101">
        <v>43045</v>
      </c>
      <c r="B414" s="96" t="s">
        <v>13</v>
      </c>
      <c r="C414" s="96">
        <v>81</v>
      </c>
      <c r="D414" s="59">
        <v>14.95</v>
      </c>
      <c r="E414" s="59">
        <v>1210.95</v>
      </c>
      <c r="F414" s="96">
        <f>VLOOKUP(RevenueTableAnswer[[#This Row],[Units Sold]],DiscountTableAnswer[],2)</f>
        <v>0.375</v>
      </c>
      <c r="G414" s="96">
        <f>ROUND((1-RevenueTableAnswer[[#This Row],[Discount on Total Revenue]])*RevenueTableAnswer[[#This Row],[Total Revenue]],2)</f>
        <v>756.84</v>
      </c>
    </row>
    <row r="415" spans="1:7" x14ac:dyDescent="0.3">
      <c r="A415" s="101">
        <v>43040</v>
      </c>
      <c r="B415" s="96" t="s">
        <v>13</v>
      </c>
      <c r="C415" s="96">
        <v>11</v>
      </c>
      <c r="D415" s="59">
        <v>14.95</v>
      </c>
      <c r="E415" s="59">
        <v>164.45</v>
      </c>
      <c r="F415" s="96">
        <f>VLOOKUP(RevenueTableAnswer[[#This Row],[Units Sold]],DiscountTableAnswer[],2)</f>
        <v>0</v>
      </c>
      <c r="G415" s="96">
        <f>ROUND((1-RevenueTableAnswer[[#This Row],[Discount on Total Revenue]])*RevenueTableAnswer[[#This Row],[Total Revenue]],2)</f>
        <v>164.45</v>
      </c>
    </row>
    <row r="416" spans="1:7" x14ac:dyDescent="0.3">
      <c r="A416" s="101">
        <v>43045</v>
      </c>
      <c r="B416" s="96" t="s">
        <v>5</v>
      </c>
      <c r="C416" s="96">
        <v>132</v>
      </c>
      <c r="D416" s="59">
        <v>22.95</v>
      </c>
      <c r="E416" s="59">
        <v>3029.4</v>
      </c>
      <c r="F416" s="96">
        <f>VLOOKUP(RevenueTableAnswer[[#This Row],[Units Sold]],DiscountTableAnswer[],2)</f>
        <v>0.4375</v>
      </c>
      <c r="G416" s="96">
        <f>ROUND((1-RevenueTableAnswer[[#This Row],[Discount on Total Revenue]])*RevenueTableAnswer[[#This Row],[Total Revenue]],2)</f>
        <v>1704.04</v>
      </c>
    </row>
    <row r="417" spans="1:7" x14ac:dyDescent="0.3">
      <c r="A417" s="101">
        <v>43043</v>
      </c>
      <c r="B417" s="96" t="s">
        <v>13</v>
      </c>
      <c r="C417" s="96">
        <v>159</v>
      </c>
      <c r="D417" s="59">
        <v>14.95</v>
      </c>
      <c r="E417" s="59">
        <v>2377.0499999999997</v>
      </c>
      <c r="F417" s="96">
        <f>VLOOKUP(RevenueTableAnswer[[#This Row],[Units Sold]],DiscountTableAnswer[],2)</f>
        <v>0.5</v>
      </c>
      <c r="G417" s="96">
        <f>ROUND((1-RevenueTableAnswer[[#This Row],[Discount on Total Revenue]])*RevenueTableAnswer[[#This Row],[Total Revenue]],2)</f>
        <v>1188.53</v>
      </c>
    </row>
    <row r="418" spans="1:7" x14ac:dyDescent="0.3">
      <c r="A418" s="101">
        <v>43042</v>
      </c>
      <c r="B418" s="96" t="s">
        <v>13</v>
      </c>
      <c r="C418" s="96">
        <v>87</v>
      </c>
      <c r="D418" s="59">
        <v>14.95</v>
      </c>
      <c r="E418" s="59">
        <v>1300.6499999999999</v>
      </c>
      <c r="F418" s="96">
        <f>VLOOKUP(RevenueTableAnswer[[#This Row],[Units Sold]],DiscountTableAnswer[],2)</f>
        <v>0.375</v>
      </c>
      <c r="G418" s="96">
        <f>ROUND((1-RevenueTableAnswer[[#This Row],[Discount on Total Revenue]])*RevenueTableAnswer[[#This Row],[Total Revenue]],2)</f>
        <v>812.91</v>
      </c>
    </row>
    <row r="419" spans="1:7" x14ac:dyDescent="0.3">
      <c r="A419" s="101">
        <v>43042</v>
      </c>
      <c r="B419" s="96" t="s">
        <v>5</v>
      </c>
      <c r="C419" s="96">
        <v>79</v>
      </c>
      <c r="D419" s="59">
        <v>22.95</v>
      </c>
      <c r="E419" s="59">
        <v>1813.05</v>
      </c>
      <c r="F419" s="96">
        <f>VLOOKUP(RevenueTableAnswer[[#This Row],[Units Sold]],DiscountTableAnswer[],2)</f>
        <v>0.375</v>
      </c>
      <c r="G419" s="96">
        <f>ROUND((1-RevenueTableAnswer[[#This Row],[Discount on Total Revenue]])*RevenueTableAnswer[[#This Row],[Total Revenue]],2)</f>
        <v>1133.1600000000001</v>
      </c>
    </row>
    <row r="420" spans="1:7" x14ac:dyDescent="0.3">
      <c r="A420" s="101">
        <v>43047</v>
      </c>
      <c r="B420" s="96" t="s">
        <v>7</v>
      </c>
      <c r="C420" s="96">
        <v>39</v>
      </c>
      <c r="D420" s="59">
        <v>43.95</v>
      </c>
      <c r="E420" s="59">
        <v>1714.0500000000002</v>
      </c>
      <c r="F420" s="96">
        <f>VLOOKUP(RevenueTableAnswer[[#This Row],[Units Sold]],DiscountTableAnswer[],2)</f>
        <v>0.25</v>
      </c>
      <c r="G420" s="96">
        <f>ROUND((1-RevenueTableAnswer[[#This Row],[Discount on Total Revenue]])*RevenueTableAnswer[[#This Row],[Total Revenue]],2)</f>
        <v>1285.54</v>
      </c>
    </row>
    <row r="421" spans="1:7" x14ac:dyDescent="0.3">
      <c r="A421" s="101">
        <v>43047</v>
      </c>
      <c r="B421" s="96" t="s">
        <v>5</v>
      </c>
      <c r="C421" s="96">
        <v>76</v>
      </c>
      <c r="D421" s="59">
        <v>22.95</v>
      </c>
      <c r="E421" s="59">
        <v>1744.2</v>
      </c>
      <c r="F421" s="96">
        <f>VLOOKUP(RevenueTableAnswer[[#This Row],[Units Sold]],DiscountTableAnswer[],2)</f>
        <v>0.375</v>
      </c>
      <c r="G421" s="96">
        <f>ROUND((1-RevenueTableAnswer[[#This Row],[Discount on Total Revenue]])*RevenueTableAnswer[[#This Row],[Total Revenue]],2)</f>
        <v>1090.1300000000001</v>
      </c>
    </row>
    <row r="422" spans="1:7" x14ac:dyDescent="0.3">
      <c r="A422" s="101">
        <v>43047</v>
      </c>
      <c r="B422" s="96" t="s">
        <v>8</v>
      </c>
      <c r="C422" s="96">
        <v>147</v>
      </c>
      <c r="D422" s="59">
        <v>21.95</v>
      </c>
      <c r="E422" s="59">
        <v>3226.65</v>
      </c>
      <c r="F422" s="96">
        <f>VLOOKUP(RevenueTableAnswer[[#This Row],[Units Sold]],DiscountTableAnswer[],2)</f>
        <v>0.5</v>
      </c>
      <c r="G422" s="96">
        <f>ROUND((1-RevenueTableAnswer[[#This Row],[Discount on Total Revenue]])*RevenueTableAnswer[[#This Row],[Total Revenue]],2)</f>
        <v>1613.33</v>
      </c>
    </row>
    <row r="423" spans="1:7" x14ac:dyDescent="0.3">
      <c r="A423" s="101">
        <v>43043</v>
      </c>
      <c r="B423" s="96" t="s">
        <v>5</v>
      </c>
      <c r="C423" s="96">
        <v>80</v>
      </c>
      <c r="D423" s="59">
        <v>22.95</v>
      </c>
      <c r="E423" s="59">
        <v>1836</v>
      </c>
      <c r="F423" s="96">
        <f>VLOOKUP(RevenueTableAnswer[[#This Row],[Units Sold]],DiscountTableAnswer[],2)</f>
        <v>0.375</v>
      </c>
      <c r="G423" s="96">
        <f>ROUND((1-RevenueTableAnswer[[#This Row],[Discount on Total Revenue]])*RevenueTableAnswer[[#This Row],[Total Revenue]],2)</f>
        <v>1147.5</v>
      </c>
    </row>
    <row r="424" spans="1:7" x14ac:dyDescent="0.3">
      <c r="A424" s="101">
        <v>43041</v>
      </c>
      <c r="B424" s="96" t="s">
        <v>5</v>
      </c>
      <c r="C424" s="96">
        <v>4</v>
      </c>
      <c r="D424" s="59">
        <v>22.95</v>
      </c>
      <c r="E424" s="59">
        <v>91.8</v>
      </c>
      <c r="F424" s="96">
        <f>VLOOKUP(RevenueTableAnswer[[#This Row],[Units Sold]],DiscountTableAnswer[],2)</f>
        <v>0</v>
      </c>
      <c r="G424" s="96">
        <f>ROUND((1-RevenueTableAnswer[[#This Row],[Discount on Total Revenue]])*RevenueTableAnswer[[#This Row],[Total Revenue]],2)</f>
        <v>91.8</v>
      </c>
    </row>
    <row r="425" spans="1:7" x14ac:dyDescent="0.3">
      <c r="A425" s="101">
        <v>43041</v>
      </c>
      <c r="B425" s="96" t="s">
        <v>5</v>
      </c>
      <c r="C425" s="96">
        <v>33</v>
      </c>
      <c r="D425" s="59">
        <v>22.95</v>
      </c>
      <c r="E425" s="59">
        <v>757.35</v>
      </c>
      <c r="F425" s="96">
        <f>VLOOKUP(RevenueTableAnswer[[#This Row],[Units Sold]],DiscountTableAnswer[],2)</f>
        <v>0.25</v>
      </c>
      <c r="G425" s="96">
        <f>ROUND((1-RevenueTableAnswer[[#This Row],[Discount on Total Revenue]])*RevenueTableAnswer[[#This Row],[Total Revenue]],2)</f>
        <v>568.01</v>
      </c>
    </row>
    <row r="426" spans="1:7" x14ac:dyDescent="0.3">
      <c r="A426" s="101">
        <v>43040</v>
      </c>
      <c r="B426" s="96" t="s">
        <v>7</v>
      </c>
      <c r="C426" s="96">
        <v>154</v>
      </c>
      <c r="D426" s="59">
        <v>43.95</v>
      </c>
      <c r="E426" s="59">
        <v>6768.3</v>
      </c>
      <c r="F426" s="96">
        <f>VLOOKUP(RevenueTableAnswer[[#This Row],[Units Sold]],DiscountTableAnswer[],2)</f>
        <v>0.5</v>
      </c>
      <c r="G426" s="96">
        <f>ROUND((1-RevenueTableAnswer[[#This Row],[Discount on Total Revenue]])*RevenueTableAnswer[[#This Row],[Total Revenue]],2)</f>
        <v>3384.15</v>
      </c>
    </row>
    <row r="427" spans="1:7" x14ac:dyDescent="0.3">
      <c r="A427" s="101">
        <v>43046</v>
      </c>
      <c r="B427" s="96" t="s">
        <v>5</v>
      </c>
      <c r="C427" s="96">
        <v>124</v>
      </c>
      <c r="D427" s="59">
        <v>22.95</v>
      </c>
      <c r="E427" s="59">
        <v>2845.7999999999997</v>
      </c>
      <c r="F427" s="96">
        <f>VLOOKUP(RevenueTableAnswer[[#This Row],[Units Sold]],DiscountTableAnswer[],2)</f>
        <v>0.4375</v>
      </c>
      <c r="G427" s="96">
        <f>ROUND((1-RevenueTableAnswer[[#This Row],[Discount on Total Revenue]])*RevenueTableAnswer[[#This Row],[Total Revenue]],2)</f>
        <v>1600.76</v>
      </c>
    </row>
    <row r="428" spans="1:7" x14ac:dyDescent="0.3">
      <c r="A428" s="101">
        <v>43043</v>
      </c>
      <c r="B428" s="96" t="s">
        <v>8</v>
      </c>
      <c r="C428" s="96">
        <v>48</v>
      </c>
      <c r="D428" s="59">
        <v>21.95</v>
      </c>
      <c r="E428" s="59">
        <v>1053.5999999999999</v>
      </c>
      <c r="F428" s="96">
        <f>VLOOKUP(RevenueTableAnswer[[#This Row],[Units Sold]],DiscountTableAnswer[],2)</f>
        <v>0.375</v>
      </c>
      <c r="G428" s="96">
        <f>ROUND((1-RevenueTableAnswer[[#This Row],[Discount on Total Revenue]])*RevenueTableAnswer[[#This Row],[Total Revenue]],2)</f>
        <v>658.5</v>
      </c>
    </row>
    <row r="429" spans="1:7" x14ac:dyDescent="0.3">
      <c r="A429" s="101">
        <v>43043</v>
      </c>
      <c r="B429" s="96" t="s">
        <v>5</v>
      </c>
      <c r="C429" s="96">
        <v>146</v>
      </c>
      <c r="D429" s="59">
        <v>22.95</v>
      </c>
      <c r="E429" s="59">
        <v>3350.7</v>
      </c>
      <c r="F429" s="96">
        <f>VLOOKUP(RevenueTableAnswer[[#This Row],[Units Sold]],DiscountTableAnswer[],2)</f>
        <v>0.5</v>
      </c>
      <c r="G429" s="96">
        <f>ROUND((1-RevenueTableAnswer[[#This Row],[Discount on Total Revenue]])*RevenueTableAnswer[[#This Row],[Total Revenue]],2)</f>
        <v>1675.35</v>
      </c>
    </row>
    <row r="430" spans="1:7" x14ac:dyDescent="0.3">
      <c r="A430" s="101">
        <v>43041</v>
      </c>
      <c r="B430" s="96" t="s">
        <v>5</v>
      </c>
      <c r="C430" s="96">
        <v>27</v>
      </c>
      <c r="D430" s="59">
        <v>22.95</v>
      </c>
      <c r="E430" s="59">
        <v>619.65</v>
      </c>
      <c r="F430" s="96">
        <f>VLOOKUP(RevenueTableAnswer[[#This Row],[Units Sold]],DiscountTableAnswer[],2)</f>
        <v>0.25</v>
      </c>
      <c r="G430" s="96">
        <f>ROUND((1-RevenueTableAnswer[[#This Row],[Discount on Total Revenue]])*RevenueTableAnswer[[#This Row],[Total Revenue]],2)</f>
        <v>464.74</v>
      </c>
    </row>
    <row r="431" spans="1:7" x14ac:dyDescent="0.3">
      <c r="A431" s="101">
        <v>43045</v>
      </c>
      <c r="B431" s="96" t="s">
        <v>8</v>
      </c>
      <c r="C431" s="96">
        <v>128</v>
      </c>
      <c r="D431" s="59">
        <v>21.95</v>
      </c>
      <c r="E431" s="59">
        <v>2809.6</v>
      </c>
      <c r="F431" s="96">
        <f>VLOOKUP(RevenueTableAnswer[[#This Row],[Units Sold]],DiscountTableAnswer[],2)</f>
        <v>0.4375</v>
      </c>
      <c r="G431" s="96">
        <f>ROUND((1-RevenueTableAnswer[[#This Row],[Discount on Total Revenue]])*RevenueTableAnswer[[#This Row],[Total Revenue]],2)</f>
        <v>1580.4</v>
      </c>
    </row>
    <row r="432" spans="1:7" x14ac:dyDescent="0.3">
      <c r="A432" s="101">
        <v>43043</v>
      </c>
      <c r="B432" s="96" t="s">
        <v>13</v>
      </c>
      <c r="C432" s="96">
        <v>5</v>
      </c>
      <c r="D432" s="59">
        <v>14.95</v>
      </c>
      <c r="E432" s="59">
        <v>74.75</v>
      </c>
      <c r="F432" s="96">
        <f>VLOOKUP(RevenueTableAnswer[[#This Row],[Units Sold]],DiscountTableAnswer[],2)</f>
        <v>0</v>
      </c>
      <c r="G432" s="96">
        <f>ROUND((1-RevenueTableAnswer[[#This Row],[Discount on Total Revenue]])*RevenueTableAnswer[[#This Row],[Total Revenue]],2)</f>
        <v>74.75</v>
      </c>
    </row>
    <row r="433" spans="1:7" x14ac:dyDescent="0.3">
      <c r="A433" s="101">
        <v>43042</v>
      </c>
      <c r="B433" s="96" t="s">
        <v>7</v>
      </c>
      <c r="C433" s="96">
        <v>161</v>
      </c>
      <c r="D433" s="59">
        <v>43.95</v>
      </c>
      <c r="E433" s="59">
        <v>7075.9500000000007</v>
      </c>
      <c r="F433" s="96">
        <f>VLOOKUP(RevenueTableAnswer[[#This Row],[Units Sold]],DiscountTableAnswer[],2)</f>
        <v>0.5</v>
      </c>
      <c r="G433" s="96">
        <f>ROUND((1-RevenueTableAnswer[[#This Row],[Discount on Total Revenue]])*RevenueTableAnswer[[#This Row],[Total Revenue]],2)</f>
        <v>3537.98</v>
      </c>
    </row>
    <row r="434" spans="1:7" x14ac:dyDescent="0.3">
      <c r="A434" s="101">
        <v>43042</v>
      </c>
      <c r="B434" s="96" t="s">
        <v>7</v>
      </c>
      <c r="C434" s="96">
        <v>121</v>
      </c>
      <c r="D434" s="59">
        <v>43.95</v>
      </c>
      <c r="E434" s="59">
        <v>5317.9500000000007</v>
      </c>
      <c r="F434" s="96">
        <f>VLOOKUP(RevenueTableAnswer[[#This Row],[Units Sold]],DiscountTableAnswer[],2)</f>
        <v>0.4375</v>
      </c>
      <c r="G434" s="96">
        <f>ROUND((1-RevenueTableAnswer[[#This Row],[Discount on Total Revenue]])*RevenueTableAnswer[[#This Row],[Total Revenue]],2)</f>
        <v>2991.35</v>
      </c>
    </row>
    <row r="435" spans="1:7" x14ac:dyDescent="0.3">
      <c r="A435" s="101">
        <v>43043</v>
      </c>
      <c r="B435" s="96" t="s">
        <v>5</v>
      </c>
      <c r="C435" s="96">
        <v>100</v>
      </c>
      <c r="D435" s="59">
        <v>22.95</v>
      </c>
      <c r="E435" s="59">
        <v>2295</v>
      </c>
      <c r="F435" s="96">
        <f>VLOOKUP(RevenueTableAnswer[[#This Row],[Units Sold]],DiscountTableAnswer[],2)</f>
        <v>0.4375</v>
      </c>
      <c r="G435" s="96">
        <f>ROUND((1-RevenueTableAnswer[[#This Row],[Discount on Total Revenue]])*RevenueTableAnswer[[#This Row],[Total Revenue]],2)</f>
        <v>1290.94</v>
      </c>
    </row>
    <row r="436" spans="1:7" x14ac:dyDescent="0.3">
      <c r="A436" s="101">
        <v>43044</v>
      </c>
      <c r="B436" s="96" t="s">
        <v>5</v>
      </c>
      <c r="C436" s="96">
        <v>149</v>
      </c>
      <c r="D436" s="59">
        <v>22.95</v>
      </c>
      <c r="E436" s="59">
        <v>3419.5499999999997</v>
      </c>
      <c r="F436" s="96">
        <f>VLOOKUP(RevenueTableAnswer[[#This Row],[Units Sold]],DiscountTableAnswer[],2)</f>
        <v>0.5</v>
      </c>
      <c r="G436" s="96">
        <f>ROUND((1-RevenueTableAnswer[[#This Row],[Discount on Total Revenue]])*RevenueTableAnswer[[#This Row],[Total Revenue]],2)</f>
        <v>1709.78</v>
      </c>
    </row>
    <row r="437" spans="1:7" x14ac:dyDescent="0.3">
      <c r="A437" s="101">
        <v>43045</v>
      </c>
      <c r="B437" s="96" t="s">
        <v>8</v>
      </c>
      <c r="C437" s="96">
        <v>42</v>
      </c>
      <c r="D437" s="59">
        <v>21.95</v>
      </c>
      <c r="E437" s="59">
        <v>921.9</v>
      </c>
      <c r="F437" s="96">
        <f>VLOOKUP(RevenueTableAnswer[[#This Row],[Units Sold]],DiscountTableAnswer[],2)</f>
        <v>0.25</v>
      </c>
      <c r="G437" s="96">
        <f>ROUND((1-RevenueTableAnswer[[#This Row],[Discount on Total Revenue]])*RevenueTableAnswer[[#This Row],[Total Revenue]],2)</f>
        <v>691.43</v>
      </c>
    </row>
    <row r="438" spans="1:7" x14ac:dyDescent="0.3">
      <c r="A438" s="101">
        <v>43040</v>
      </c>
      <c r="B438" s="96" t="s">
        <v>8</v>
      </c>
      <c r="C438" s="96">
        <v>28</v>
      </c>
      <c r="D438" s="59">
        <v>21.95</v>
      </c>
      <c r="E438" s="59">
        <v>614.6</v>
      </c>
      <c r="F438" s="96">
        <f>VLOOKUP(RevenueTableAnswer[[#This Row],[Units Sold]],DiscountTableAnswer[],2)</f>
        <v>0.25</v>
      </c>
      <c r="G438" s="96">
        <f>ROUND((1-RevenueTableAnswer[[#This Row],[Discount on Total Revenue]])*RevenueTableAnswer[[#This Row],[Total Revenue]],2)</f>
        <v>460.95</v>
      </c>
    </row>
    <row r="439" spans="1:7" x14ac:dyDescent="0.3">
      <c r="A439" s="101">
        <v>43044</v>
      </c>
      <c r="B439" s="96" t="s">
        <v>8</v>
      </c>
      <c r="C439" s="96">
        <v>114</v>
      </c>
      <c r="D439" s="59">
        <v>21.95</v>
      </c>
      <c r="E439" s="59">
        <v>2502.2999999999997</v>
      </c>
      <c r="F439" s="96">
        <f>VLOOKUP(RevenueTableAnswer[[#This Row],[Units Sold]],DiscountTableAnswer[],2)</f>
        <v>0.4375</v>
      </c>
      <c r="G439" s="96">
        <f>ROUND((1-RevenueTableAnswer[[#This Row],[Discount on Total Revenue]])*RevenueTableAnswer[[#This Row],[Total Revenue]],2)</f>
        <v>1407.54</v>
      </c>
    </row>
    <row r="440" spans="1:7" x14ac:dyDescent="0.3">
      <c r="A440" s="101">
        <v>43040</v>
      </c>
      <c r="B440" s="96" t="s">
        <v>13</v>
      </c>
      <c r="C440" s="96">
        <v>14</v>
      </c>
      <c r="D440" s="59">
        <v>14.95</v>
      </c>
      <c r="E440" s="59">
        <v>209.29999999999998</v>
      </c>
      <c r="F440" s="96">
        <f>VLOOKUP(RevenueTableAnswer[[#This Row],[Units Sold]],DiscountTableAnswer[],2)</f>
        <v>0.25</v>
      </c>
      <c r="G440" s="96">
        <f>ROUND((1-RevenueTableAnswer[[#This Row],[Discount on Total Revenue]])*RevenueTableAnswer[[#This Row],[Total Revenue]],2)</f>
        <v>156.97999999999999</v>
      </c>
    </row>
    <row r="441" spans="1:7" x14ac:dyDescent="0.3">
      <c r="A441" s="101">
        <v>43045</v>
      </c>
      <c r="B441" s="96" t="s">
        <v>13</v>
      </c>
      <c r="C441" s="96">
        <v>160</v>
      </c>
      <c r="D441" s="59">
        <v>14.95</v>
      </c>
      <c r="E441" s="59">
        <v>2392</v>
      </c>
      <c r="F441" s="96">
        <f>VLOOKUP(RevenueTableAnswer[[#This Row],[Units Sold]],DiscountTableAnswer[],2)</f>
        <v>0.5</v>
      </c>
      <c r="G441" s="96">
        <f>ROUND((1-RevenueTableAnswer[[#This Row],[Discount on Total Revenue]])*RevenueTableAnswer[[#This Row],[Total Revenue]],2)</f>
        <v>1196</v>
      </c>
    </row>
    <row r="442" spans="1:7" x14ac:dyDescent="0.3">
      <c r="A442" s="101">
        <v>43042</v>
      </c>
      <c r="B442" s="96" t="s">
        <v>5</v>
      </c>
      <c r="C442" s="96">
        <v>14</v>
      </c>
      <c r="D442" s="59">
        <v>22.95</v>
      </c>
      <c r="E442" s="59">
        <v>321.3</v>
      </c>
      <c r="F442" s="96">
        <f>VLOOKUP(RevenueTableAnswer[[#This Row],[Units Sold]],DiscountTableAnswer[],2)</f>
        <v>0.25</v>
      </c>
      <c r="G442" s="96">
        <f>ROUND((1-RevenueTableAnswer[[#This Row],[Discount on Total Revenue]])*RevenueTableAnswer[[#This Row],[Total Revenue]],2)</f>
        <v>240.98</v>
      </c>
    </row>
    <row r="443" spans="1:7" x14ac:dyDescent="0.3">
      <c r="A443" s="101">
        <v>43040</v>
      </c>
      <c r="B443" s="96" t="s">
        <v>13</v>
      </c>
      <c r="C443" s="96">
        <v>12</v>
      </c>
      <c r="D443" s="59">
        <v>14.95</v>
      </c>
      <c r="E443" s="59">
        <v>179.39999999999998</v>
      </c>
      <c r="F443" s="96">
        <f>VLOOKUP(RevenueTableAnswer[[#This Row],[Units Sold]],DiscountTableAnswer[],2)</f>
        <v>0.25</v>
      </c>
      <c r="G443" s="96">
        <f>ROUND((1-RevenueTableAnswer[[#This Row],[Discount on Total Revenue]])*RevenueTableAnswer[[#This Row],[Total Revenue]],2)</f>
        <v>134.55000000000001</v>
      </c>
    </row>
    <row r="444" spans="1:7" x14ac:dyDescent="0.3">
      <c r="A444" s="101">
        <v>43043</v>
      </c>
      <c r="B444" s="96" t="s">
        <v>8</v>
      </c>
      <c r="C444" s="96">
        <v>20</v>
      </c>
      <c r="D444" s="59">
        <v>21.95</v>
      </c>
      <c r="E444" s="59">
        <v>439</v>
      </c>
      <c r="F444" s="96">
        <f>VLOOKUP(RevenueTableAnswer[[#This Row],[Units Sold]],DiscountTableAnswer[],2)</f>
        <v>0.25</v>
      </c>
      <c r="G444" s="96">
        <f>ROUND((1-RevenueTableAnswer[[#This Row],[Discount on Total Revenue]])*RevenueTableAnswer[[#This Row],[Total Revenue]],2)</f>
        <v>329.25</v>
      </c>
    </row>
    <row r="445" spans="1:7" x14ac:dyDescent="0.3">
      <c r="A445" s="101">
        <v>43040</v>
      </c>
      <c r="B445" s="96" t="s">
        <v>8</v>
      </c>
      <c r="C445" s="96">
        <v>76</v>
      </c>
      <c r="D445" s="59">
        <v>21.95</v>
      </c>
      <c r="E445" s="59">
        <v>1668.2</v>
      </c>
      <c r="F445" s="96">
        <f>VLOOKUP(RevenueTableAnswer[[#This Row],[Units Sold]],DiscountTableAnswer[],2)</f>
        <v>0.375</v>
      </c>
      <c r="G445" s="96">
        <f>ROUND((1-RevenueTableAnswer[[#This Row],[Discount on Total Revenue]])*RevenueTableAnswer[[#This Row],[Total Revenue]],2)</f>
        <v>1042.6300000000001</v>
      </c>
    </row>
    <row r="446" spans="1:7" x14ac:dyDescent="0.3">
      <c r="A446" s="101">
        <v>43047</v>
      </c>
      <c r="B446" s="96" t="s">
        <v>13</v>
      </c>
      <c r="C446" s="96">
        <v>112</v>
      </c>
      <c r="D446" s="59">
        <v>14.95</v>
      </c>
      <c r="E446" s="59">
        <v>1674.3999999999999</v>
      </c>
      <c r="F446" s="96">
        <f>VLOOKUP(RevenueTableAnswer[[#This Row],[Units Sold]],DiscountTableAnswer[],2)</f>
        <v>0.4375</v>
      </c>
      <c r="G446" s="96">
        <f>ROUND((1-RevenueTableAnswer[[#This Row],[Discount on Total Revenue]])*RevenueTableAnswer[[#This Row],[Total Revenue]],2)</f>
        <v>941.85</v>
      </c>
    </row>
    <row r="447" spans="1:7" x14ac:dyDescent="0.3">
      <c r="A447" s="101">
        <v>43041</v>
      </c>
      <c r="B447" s="96" t="s">
        <v>5</v>
      </c>
      <c r="C447" s="96">
        <v>113</v>
      </c>
      <c r="D447" s="59">
        <v>22.95</v>
      </c>
      <c r="E447" s="59">
        <v>2593.35</v>
      </c>
      <c r="F447" s="96">
        <f>VLOOKUP(RevenueTableAnswer[[#This Row],[Units Sold]],DiscountTableAnswer[],2)</f>
        <v>0.4375</v>
      </c>
      <c r="G447" s="96">
        <f>ROUND((1-RevenueTableAnswer[[#This Row],[Discount on Total Revenue]])*RevenueTableAnswer[[#This Row],[Total Revenue]],2)</f>
        <v>1458.76</v>
      </c>
    </row>
    <row r="448" spans="1:7" x14ac:dyDescent="0.3">
      <c r="A448" s="101">
        <v>43040</v>
      </c>
      <c r="B448" s="96" t="s">
        <v>5</v>
      </c>
      <c r="C448" s="96">
        <v>76</v>
      </c>
      <c r="D448" s="59">
        <v>22.95</v>
      </c>
      <c r="E448" s="59">
        <v>1744.2</v>
      </c>
      <c r="F448" s="96">
        <f>VLOOKUP(RevenueTableAnswer[[#This Row],[Units Sold]],DiscountTableAnswer[],2)</f>
        <v>0.375</v>
      </c>
      <c r="G448" s="96">
        <f>ROUND((1-RevenueTableAnswer[[#This Row],[Discount on Total Revenue]])*RevenueTableAnswer[[#This Row],[Total Revenue]],2)</f>
        <v>1090.1300000000001</v>
      </c>
    </row>
    <row r="449" spans="1:7" x14ac:dyDescent="0.3">
      <c r="A449" s="101">
        <v>43047</v>
      </c>
      <c r="B449" s="96" t="s">
        <v>7</v>
      </c>
      <c r="C449" s="96">
        <v>163</v>
      </c>
      <c r="D449" s="59">
        <v>43.95</v>
      </c>
      <c r="E449" s="59">
        <v>7163.85</v>
      </c>
      <c r="F449" s="96">
        <f>VLOOKUP(RevenueTableAnswer[[#This Row],[Units Sold]],DiscountTableAnswer[],2)</f>
        <v>0.5</v>
      </c>
      <c r="G449" s="96">
        <f>ROUND((1-RevenueTableAnswer[[#This Row],[Discount on Total Revenue]])*RevenueTableAnswer[[#This Row],[Total Revenue]],2)</f>
        <v>3581.93</v>
      </c>
    </row>
    <row r="450" spans="1:7" x14ac:dyDescent="0.3">
      <c r="A450" s="101">
        <v>43041</v>
      </c>
      <c r="B450" s="96" t="s">
        <v>7</v>
      </c>
      <c r="C450" s="96">
        <v>76</v>
      </c>
      <c r="D450" s="59">
        <v>43.95</v>
      </c>
      <c r="E450" s="59">
        <v>3340.2000000000003</v>
      </c>
      <c r="F450" s="96">
        <f>VLOOKUP(RevenueTableAnswer[[#This Row],[Units Sold]],DiscountTableAnswer[],2)</f>
        <v>0.375</v>
      </c>
      <c r="G450" s="96">
        <f>ROUND((1-RevenueTableAnswer[[#This Row],[Discount on Total Revenue]])*RevenueTableAnswer[[#This Row],[Total Revenue]],2)</f>
        <v>2087.63</v>
      </c>
    </row>
    <row r="451" spans="1:7" x14ac:dyDescent="0.3">
      <c r="A451" s="101">
        <v>43047</v>
      </c>
      <c r="B451" s="96" t="s">
        <v>7</v>
      </c>
      <c r="C451" s="96">
        <v>177</v>
      </c>
      <c r="D451" s="59">
        <v>43.95</v>
      </c>
      <c r="E451" s="59">
        <v>7779.1500000000005</v>
      </c>
      <c r="F451" s="96">
        <f>VLOOKUP(RevenueTableAnswer[[#This Row],[Units Sold]],DiscountTableAnswer[],2)</f>
        <v>0.55000000000000004</v>
      </c>
      <c r="G451" s="96">
        <f>ROUND((1-RevenueTableAnswer[[#This Row],[Discount on Total Revenue]])*RevenueTableAnswer[[#This Row],[Total Revenue]],2)</f>
        <v>3500.62</v>
      </c>
    </row>
    <row r="452" spans="1:7" x14ac:dyDescent="0.3">
      <c r="A452" s="101">
        <v>43040</v>
      </c>
      <c r="B452" s="96" t="s">
        <v>8</v>
      </c>
      <c r="C452" s="96">
        <v>41</v>
      </c>
      <c r="D452" s="59">
        <v>21.95</v>
      </c>
      <c r="E452" s="59">
        <v>899.94999999999993</v>
      </c>
      <c r="F452" s="96">
        <f>VLOOKUP(RevenueTableAnswer[[#This Row],[Units Sold]],DiscountTableAnswer[],2)</f>
        <v>0.25</v>
      </c>
      <c r="G452" s="96">
        <f>ROUND((1-RevenueTableAnswer[[#This Row],[Discount on Total Revenue]])*RevenueTableAnswer[[#This Row],[Total Revenue]],2)</f>
        <v>674.96</v>
      </c>
    </row>
    <row r="453" spans="1:7" x14ac:dyDescent="0.3">
      <c r="A453" s="101">
        <v>43045</v>
      </c>
      <c r="B453" s="96" t="s">
        <v>5</v>
      </c>
      <c r="C453" s="96">
        <v>42</v>
      </c>
      <c r="D453" s="59">
        <v>22.95</v>
      </c>
      <c r="E453" s="59">
        <v>963.9</v>
      </c>
      <c r="F453" s="96">
        <f>VLOOKUP(RevenueTableAnswer[[#This Row],[Units Sold]],DiscountTableAnswer[],2)</f>
        <v>0.25</v>
      </c>
      <c r="G453" s="96">
        <f>ROUND((1-RevenueTableAnswer[[#This Row],[Discount on Total Revenue]])*RevenueTableAnswer[[#This Row],[Total Revenue]],2)</f>
        <v>722.93</v>
      </c>
    </row>
    <row r="454" spans="1:7" x14ac:dyDescent="0.3">
      <c r="A454" s="101">
        <v>43047</v>
      </c>
      <c r="B454" s="96" t="s">
        <v>7</v>
      </c>
      <c r="C454" s="96">
        <v>152</v>
      </c>
      <c r="D454" s="59">
        <v>43.95</v>
      </c>
      <c r="E454" s="59">
        <v>6680.4000000000005</v>
      </c>
      <c r="F454" s="96">
        <f>VLOOKUP(RevenueTableAnswer[[#This Row],[Units Sold]],DiscountTableAnswer[],2)</f>
        <v>0.5</v>
      </c>
      <c r="G454" s="96">
        <f>ROUND((1-RevenueTableAnswer[[#This Row],[Discount on Total Revenue]])*RevenueTableAnswer[[#This Row],[Total Revenue]],2)</f>
        <v>3340.2</v>
      </c>
    </row>
    <row r="455" spans="1:7" x14ac:dyDescent="0.3">
      <c r="A455" s="101">
        <v>43043</v>
      </c>
      <c r="B455" s="96" t="s">
        <v>8</v>
      </c>
      <c r="C455" s="96">
        <v>90</v>
      </c>
      <c r="D455" s="59">
        <v>21.95</v>
      </c>
      <c r="E455" s="59">
        <v>1975.5</v>
      </c>
      <c r="F455" s="96">
        <f>VLOOKUP(RevenueTableAnswer[[#This Row],[Units Sold]],DiscountTableAnswer[],2)</f>
        <v>0.375</v>
      </c>
      <c r="G455" s="96">
        <f>ROUND((1-RevenueTableAnswer[[#This Row],[Discount on Total Revenue]])*RevenueTableAnswer[[#This Row],[Total Revenue]],2)</f>
        <v>1234.69</v>
      </c>
    </row>
    <row r="456" spans="1:7" x14ac:dyDescent="0.3">
      <c r="A456" s="101">
        <v>43047</v>
      </c>
      <c r="B456" s="96" t="s">
        <v>13</v>
      </c>
      <c r="C456" s="96">
        <v>103</v>
      </c>
      <c r="D456" s="59">
        <v>14.95</v>
      </c>
      <c r="E456" s="59">
        <v>1539.85</v>
      </c>
      <c r="F456" s="96">
        <f>VLOOKUP(RevenueTableAnswer[[#This Row],[Units Sold]],DiscountTableAnswer[],2)</f>
        <v>0.4375</v>
      </c>
      <c r="G456" s="96">
        <f>ROUND((1-RevenueTableAnswer[[#This Row],[Discount on Total Revenue]])*RevenueTableAnswer[[#This Row],[Total Revenue]],2)</f>
        <v>866.17</v>
      </c>
    </row>
    <row r="457" spans="1:7" x14ac:dyDescent="0.3">
      <c r="A457" s="101">
        <v>43044</v>
      </c>
      <c r="B457" s="96" t="s">
        <v>7</v>
      </c>
      <c r="C457" s="96">
        <v>18</v>
      </c>
      <c r="D457" s="59">
        <v>43.95</v>
      </c>
      <c r="E457" s="59">
        <v>791.1</v>
      </c>
      <c r="F457" s="96">
        <f>VLOOKUP(RevenueTableAnswer[[#This Row],[Units Sold]],DiscountTableAnswer[],2)</f>
        <v>0.25</v>
      </c>
      <c r="G457" s="96">
        <f>ROUND((1-RevenueTableAnswer[[#This Row],[Discount on Total Revenue]])*RevenueTableAnswer[[#This Row],[Total Revenue]],2)</f>
        <v>593.33000000000004</v>
      </c>
    </row>
    <row r="458" spans="1:7" x14ac:dyDescent="0.3">
      <c r="A458" s="101">
        <v>43040</v>
      </c>
      <c r="B458" s="96" t="s">
        <v>5</v>
      </c>
      <c r="C458" s="96">
        <v>185</v>
      </c>
      <c r="D458" s="59">
        <v>22.95</v>
      </c>
      <c r="E458" s="59">
        <v>4245.75</v>
      </c>
      <c r="F458" s="96">
        <f>VLOOKUP(RevenueTableAnswer[[#This Row],[Units Sold]],DiscountTableAnswer[],2)</f>
        <v>0.55000000000000004</v>
      </c>
      <c r="G458" s="96">
        <f>ROUND((1-RevenueTableAnswer[[#This Row],[Discount on Total Revenue]])*RevenueTableAnswer[[#This Row],[Total Revenue]],2)</f>
        <v>1910.59</v>
      </c>
    </row>
    <row r="459" spans="1:7" x14ac:dyDescent="0.3">
      <c r="A459" s="101">
        <v>43040</v>
      </c>
      <c r="B459" s="96" t="s">
        <v>13</v>
      </c>
      <c r="C459" s="96">
        <v>29</v>
      </c>
      <c r="D459" s="59">
        <v>14.95</v>
      </c>
      <c r="E459" s="59">
        <v>433.54999999999995</v>
      </c>
      <c r="F459" s="96">
        <f>VLOOKUP(RevenueTableAnswer[[#This Row],[Units Sold]],DiscountTableAnswer[],2)</f>
        <v>0.25</v>
      </c>
      <c r="G459" s="96">
        <f>ROUND((1-RevenueTableAnswer[[#This Row],[Discount on Total Revenue]])*RevenueTableAnswer[[#This Row],[Total Revenue]],2)</f>
        <v>325.16000000000003</v>
      </c>
    </row>
    <row r="460" spans="1:7" x14ac:dyDescent="0.3">
      <c r="A460" s="101">
        <v>43046</v>
      </c>
      <c r="B460" s="96" t="s">
        <v>5</v>
      </c>
      <c r="C460" s="96">
        <v>140</v>
      </c>
      <c r="D460" s="59">
        <v>22.95</v>
      </c>
      <c r="E460" s="59">
        <v>3213</v>
      </c>
      <c r="F460" s="96">
        <f>VLOOKUP(RevenueTableAnswer[[#This Row],[Units Sold]],DiscountTableAnswer[],2)</f>
        <v>0.4375</v>
      </c>
      <c r="G460" s="96">
        <f>ROUND((1-RevenueTableAnswer[[#This Row],[Discount on Total Revenue]])*RevenueTableAnswer[[#This Row],[Total Revenue]],2)</f>
        <v>1807.31</v>
      </c>
    </row>
    <row r="461" spans="1:7" x14ac:dyDescent="0.3">
      <c r="A461" s="101">
        <v>43040</v>
      </c>
      <c r="B461" s="96" t="s">
        <v>7</v>
      </c>
      <c r="C461" s="96">
        <v>177</v>
      </c>
      <c r="D461" s="59">
        <v>43.95</v>
      </c>
      <c r="E461" s="59">
        <v>7779.1500000000005</v>
      </c>
      <c r="F461" s="96">
        <f>VLOOKUP(RevenueTableAnswer[[#This Row],[Units Sold]],DiscountTableAnswer[],2)</f>
        <v>0.55000000000000004</v>
      </c>
      <c r="G461" s="96">
        <f>ROUND((1-RevenueTableAnswer[[#This Row],[Discount on Total Revenue]])*RevenueTableAnswer[[#This Row],[Total Revenue]],2)</f>
        <v>3500.62</v>
      </c>
    </row>
    <row r="462" spans="1:7" x14ac:dyDescent="0.3">
      <c r="A462" s="101">
        <v>43043</v>
      </c>
      <c r="B462" s="96" t="s">
        <v>13</v>
      </c>
      <c r="C462" s="96">
        <v>74</v>
      </c>
      <c r="D462" s="59">
        <v>14.95</v>
      </c>
      <c r="E462" s="59">
        <v>1106.3</v>
      </c>
      <c r="F462" s="96">
        <f>VLOOKUP(RevenueTableAnswer[[#This Row],[Units Sold]],DiscountTableAnswer[],2)</f>
        <v>0.375</v>
      </c>
      <c r="G462" s="96">
        <f>ROUND((1-RevenueTableAnswer[[#This Row],[Discount on Total Revenue]])*RevenueTableAnswer[[#This Row],[Total Revenue]],2)</f>
        <v>691.44</v>
      </c>
    </row>
    <row r="463" spans="1:7" x14ac:dyDescent="0.3">
      <c r="A463" s="101">
        <v>43040</v>
      </c>
      <c r="B463" s="96" t="s">
        <v>5</v>
      </c>
      <c r="C463" s="96">
        <v>111</v>
      </c>
      <c r="D463" s="59">
        <v>22.95</v>
      </c>
      <c r="E463" s="59">
        <v>2547.4499999999998</v>
      </c>
      <c r="F463" s="96">
        <f>VLOOKUP(RevenueTableAnswer[[#This Row],[Units Sold]],DiscountTableAnswer[],2)</f>
        <v>0.4375</v>
      </c>
      <c r="G463" s="96">
        <f>ROUND((1-RevenueTableAnswer[[#This Row],[Discount on Total Revenue]])*RevenueTableAnswer[[#This Row],[Total Revenue]],2)</f>
        <v>1432.94</v>
      </c>
    </row>
    <row r="464" spans="1:7" x14ac:dyDescent="0.3">
      <c r="A464" s="101">
        <v>43047</v>
      </c>
      <c r="B464" s="96" t="s">
        <v>5</v>
      </c>
      <c r="C464" s="96">
        <v>11</v>
      </c>
      <c r="D464" s="59">
        <v>22.95</v>
      </c>
      <c r="E464" s="59">
        <v>252.45</v>
      </c>
      <c r="F464" s="96">
        <f>VLOOKUP(RevenueTableAnswer[[#This Row],[Units Sold]],DiscountTableAnswer[],2)</f>
        <v>0</v>
      </c>
      <c r="G464" s="96">
        <f>ROUND((1-RevenueTableAnswer[[#This Row],[Discount on Total Revenue]])*RevenueTableAnswer[[#This Row],[Total Revenue]],2)</f>
        <v>252.45</v>
      </c>
    </row>
    <row r="465" spans="1:7" x14ac:dyDescent="0.3">
      <c r="A465" s="101">
        <v>43040</v>
      </c>
      <c r="B465" s="96" t="s">
        <v>13</v>
      </c>
      <c r="C465" s="96">
        <v>28</v>
      </c>
      <c r="D465" s="59">
        <v>14.95</v>
      </c>
      <c r="E465" s="59">
        <v>418.59999999999997</v>
      </c>
      <c r="F465" s="96">
        <f>VLOOKUP(RevenueTableAnswer[[#This Row],[Units Sold]],DiscountTableAnswer[],2)</f>
        <v>0.25</v>
      </c>
      <c r="G465" s="96">
        <f>ROUND((1-RevenueTableAnswer[[#This Row],[Discount on Total Revenue]])*RevenueTableAnswer[[#This Row],[Total Revenue]],2)</f>
        <v>313.95</v>
      </c>
    </row>
    <row r="466" spans="1:7" x14ac:dyDescent="0.3">
      <c r="A466" s="101">
        <v>43040</v>
      </c>
      <c r="B466" s="96" t="s">
        <v>7</v>
      </c>
      <c r="C466" s="96">
        <v>80</v>
      </c>
      <c r="D466" s="59">
        <v>43.95</v>
      </c>
      <c r="E466" s="59">
        <v>3516</v>
      </c>
      <c r="F466" s="96">
        <f>VLOOKUP(RevenueTableAnswer[[#This Row],[Units Sold]],DiscountTableAnswer[],2)</f>
        <v>0.375</v>
      </c>
      <c r="G466" s="96">
        <f>ROUND((1-RevenueTableAnswer[[#This Row],[Discount on Total Revenue]])*RevenueTableAnswer[[#This Row],[Total Revenue]],2)</f>
        <v>2197.5</v>
      </c>
    </row>
    <row r="467" spans="1:7" x14ac:dyDescent="0.3">
      <c r="A467" s="101">
        <v>43040</v>
      </c>
      <c r="B467" s="96" t="s">
        <v>5</v>
      </c>
      <c r="C467" s="96">
        <v>18</v>
      </c>
      <c r="D467" s="59">
        <v>22.95</v>
      </c>
      <c r="E467" s="59">
        <v>413.09999999999997</v>
      </c>
      <c r="F467" s="96">
        <f>VLOOKUP(RevenueTableAnswer[[#This Row],[Units Sold]],DiscountTableAnswer[],2)</f>
        <v>0.25</v>
      </c>
      <c r="G467" s="96">
        <f>ROUND((1-RevenueTableAnswer[[#This Row],[Discount on Total Revenue]])*RevenueTableAnswer[[#This Row],[Total Revenue]],2)</f>
        <v>309.83</v>
      </c>
    </row>
    <row r="468" spans="1:7" x14ac:dyDescent="0.3">
      <c r="A468" s="101">
        <v>43046</v>
      </c>
      <c r="B468" s="96" t="s">
        <v>7</v>
      </c>
      <c r="C468" s="96">
        <v>28</v>
      </c>
      <c r="D468" s="59">
        <v>43.95</v>
      </c>
      <c r="E468" s="59">
        <v>1230.6000000000001</v>
      </c>
      <c r="F468" s="96">
        <f>VLOOKUP(RevenueTableAnswer[[#This Row],[Units Sold]],DiscountTableAnswer[],2)</f>
        <v>0.25</v>
      </c>
      <c r="G468" s="96">
        <f>ROUND((1-RevenueTableAnswer[[#This Row],[Discount on Total Revenue]])*RevenueTableAnswer[[#This Row],[Total Revenue]],2)</f>
        <v>922.95</v>
      </c>
    </row>
    <row r="469" spans="1:7" x14ac:dyDescent="0.3">
      <c r="A469" s="101">
        <v>43043</v>
      </c>
      <c r="B469" s="96" t="s">
        <v>8</v>
      </c>
      <c r="C469" s="96">
        <v>117</v>
      </c>
      <c r="D469" s="59">
        <v>21.95</v>
      </c>
      <c r="E469" s="59">
        <v>2568.15</v>
      </c>
      <c r="F469" s="96">
        <f>VLOOKUP(RevenueTableAnswer[[#This Row],[Units Sold]],DiscountTableAnswer[],2)</f>
        <v>0.4375</v>
      </c>
      <c r="G469" s="96">
        <f>ROUND((1-RevenueTableAnswer[[#This Row],[Discount on Total Revenue]])*RevenueTableAnswer[[#This Row],[Total Revenue]],2)</f>
        <v>1444.58</v>
      </c>
    </row>
    <row r="470" spans="1:7" x14ac:dyDescent="0.3">
      <c r="A470" s="101">
        <v>43046</v>
      </c>
      <c r="B470" s="96" t="s">
        <v>5</v>
      </c>
      <c r="C470" s="96">
        <v>145</v>
      </c>
      <c r="D470" s="59">
        <v>22.95</v>
      </c>
      <c r="E470" s="59">
        <v>3327.75</v>
      </c>
      <c r="F470" s="96">
        <f>VLOOKUP(RevenueTableAnswer[[#This Row],[Units Sold]],DiscountTableAnswer[],2)</f>
        <v>0.5</v>
      </c>
      <c r="G470" s="96">
        <f>ROUND((1-RevenueTableAnswer[[#This Row],[Discount on Total Revenue]])*RevenueTableAnswer[[#This Row],[Total Revenue]],2)</f>
        <v>1663.88</v>
      </c>
    </row>
    <row r="471" spans="1:7" x14ac:dyDescent="0.3">
      <c r="A471" s="101">
        <v>43040</v>
      </c>
      <c r="B471" s="96" t="s">
        <v>5</v>
      </c>
      <c r="C471" s="96">
        <v>79</v>
      </c>
      <c r="D471" s="59">
        <v>22.95</v>
      </c>
      <c r="E471" s="59">
        <v>1813.05</v>
      </c>
      <c r="F471" s="96">
        <f>VLOOKUP(RevenueTableAnswer[[#This Row],[Units Sold]],DiscountTableAnswer[],2)</f>
        <v>0.375</v>
      </c>
      <c r="G471" s="96">
        <f>ROUND((1-RevenueTableAnswer[[#This Row],[Discount on Total Revenue]])*RevenueTableAnswer[[#This Row],[Total Revenue]],2)</f>
        <v>1133.1600000000001</v>
      </c>
    </row>
    <row r="472" spans="1:7" x14ac:dyDescent="0.3">
      <c r="A472" s="101">
        <v>43040</v>
      </c>
      <c r="B472" s="96" t="s">
        <v>5</v>
      </c>
      <c r="C472" s="96">
        <v>99</v>
      </c>
      <c r="D472" s="59">
        <v>22.95</v>
      </c>
      <c r="E472" s="59">
        <v>2272.0499999999997</v>
      </c>
      <c r="F472" s="96">
        <f>VLOOKUP(RevenueTableAnswer[[#This Row],[Units Sold]],DiscountTableAnswer[],2)</f>
        <v>0.4375</v>
      </c>
      <c r="G472" s="96">
        <f>ROUND((1-RevenueTableAnswer[[#This Row],[Discount on Total Revenue]])*RevenueTableAnswer[[#This Row],[Total Revenue]],2)</f>
        <v>1278.03</v>
      </c>
    </row>
    <row r="473" spans="1:7" x14ac:dyDescent="0.3">
      <c r="A473" s="101">
        <v>43044</v>
      </c>
      <c r="B473" s="96" t="s">
        <v>8</v>
      </c>
      <c r="C473" s="96">
        <v>22</v>
      </c>
      <c r="D473" s="59">
        <v>21.95</v>
      </c>
      <c r="E473" s="59">
        <v>482.9</v>
      </c>
      <c r="F473" s="96">
        <f>VLOOKUP(RevenueTableAnswer[[#This Row],[Units Sold]],DiscountTableAnswer[],2)</f>
        <v>0.25</v>
      </c>
      <c r="G473" s="96">
        <f>ROUND((1-RevenueTableAnswer[[#This Row],[Discount on Total Revenue]])*RevenueTableAnswer[[#This Row],[Total Revenue]],2)</f>
        <v>362.18</v>
      </c>
    </row>
    <row r="474" spans="1:7" x14ac:dyDescent="0.3">
      <c r="A474" s="101">
        <v>43047</v>
      </c>
      <c r="B474" s="96" t="s">
        <v>8</v>
      </c>
      <c r="C474" s="96">
        <v>63</v>
      </c>
      <c r="D474" s="59">
        <v>21.95</v>
      </c>
      <c r="E474" s="59">
        <v>1382.85</v>
      </c>
      <c r="F474" s="96">
        <f>VLOOKUP(RevenueTableAnswer[[#This Row],[Units Sold]],DiscountTableAnswer[],2)</f>
        <v>0.375</v>
      </c>
      <c r="G474" s="96">
        <f>ROUND((1-RevenueTableAnswer[[#This Row],[Discount on Total Revenue]])*RevenueTableAnswer[[#This Row],[Total Revenue]],2)</f>
        <v>864.28</v>
      </c>
    </row>
    <row r="475" spans="1:7" x14ac:dyDescent="0.3">
      <c r="A475" s="101">
        <v>43040</v>
      </c>
      <c r="B475" s="96" t="s">
        <v>13</v>
      </c>
      <c r="C475" s="96">
        <v>123</v>
      </c>
      <c r="D475" s="59">
        <v>14.95</v>
      </c>
      <c r="E475" s="59">
        <v>1838.85</v>
      </c>
      <c r="F475" s="96">
        <f>VLOOKUP(RevenueTableAnswer[[#This Row],[Units Sold]],DiscountTableAnswer[],2)</f>
        <v>0.4375</v>
      </c>
      <c r="G475" s="96">
        <f>ROUND((1-RevenueTableAnswer[[#This Row],[Discount on Total Revenue]])*RevenueTableAnswer[[#This Row],[Total Revenue]],2)</f>
        <v>1034.3499999999999</v>
      </c>
    </row>
    <row r="476" spans="1:7" x14ac:dyDescent="0.3">
      <c r="A476" s="101">
        <v>43046</v>
      </c>
      <c r="B476" s="96" t="s">
        <v>13</v>
      </c>
      <c r="C476" s="96">
        <v>48</v>
      </c>
      <c r="D476" s="59">
        <v>14.95</v>
      </c>
      <c r="E476" s="59">
        <v>717.59999999999991</v>
      </c>
      <c r="F476" s="96">
        <f>VLOOKUP(RevenueTableAnswer[[#This Row],[Units Sold]],DiscountTableAnswer[],2)</f>
        <v>0.375</v>
      </c>
      <c r="G476" s="96">
        <f>ROUND((1-RevenueTableAnswer[[#This Row],[Discount on Total Revenue]])*RevenueTableAnswer[[#This Row],[Total Revenue]],2)</f>
        <v>448.5</v>
      </c>
    </row>
    <row r="477" spans="1:7" x14ac:dyDescent="0.3">
      <c r="A477" s="101">
        <v>43040</v>
      </c>
      <c r="B477" s="96" t="s">
        <v>5</v>
      </c>
      <c r="C477" s="96">
        <v>147</v>
      </c>
      <c r="D477" s="59">
        <v>22.95</v>
      </c>
      <c r="E477" s="59">
        <v>3373.65</v>
      </c>
      <c r="F477" s="96">
        <f>VLOOKUP(RevenueTableAnswer[[#This Row],[Units Sold]],DiscountTableAnswer[],2)</f>
        <v>0.5</v>
      </c>
      <c r="G477" s="96">
        <f>ROUND((1-RevenueTableAnswer[[#This Row],[Discount on Total Revenue]])*RevenueTableAnswer[[#This Row],[Total Revenue]],2)</f>
        <v>1686.83</v>
      </c>
    </row>
    <row r="478" spans="1:7" x14ac:dyDescent="0.3">
      <c r="A478" s="101">
        <v>43045</v>
      </c>
      <c r="B478" s="96" t="s">
        <v>7</v>
      </c>
      <c r="C478" s="96">
        <v>136</v>
      </c>
      <c r="D478" s="59">
        <v>43.95</v>
      </c>
      <c r="E478" s="59">
        <v>5977.2000000000007</v>
      </c>
      <c r="F478" s="96">
        <f>VLOOKUP(RevenueTableAnswer[[#This Row],[Units Sold]],DiscountTableAnswer[],2)</f>
        <v>0.4375</v>
      </c>
      <c r="G478" s="96">
        <f>ROUND((1-RevenueTableAnswer[[#This Row],[Discount on Total Revenue]])*RevenueTableAnswer[[#This Row],[Total Revenue]],2)</f>
        <v>3362.18</v>
      </c>
    </row>
    <row r="479" spans="1:7" x14ac:dyDescent="0.3">
      <c r="A479" s="101">
        <v>43040</v>
      </c>
      <c r="B479" s="96" t="s">
        <v>13</v>
      </c>
      <c r="C479" s="96">
        <v>179</v>
      </c>
      <c r="D479" s="59">
        <v>14.95</v>
      </c>
      <c r="E479" s="59">
        <v>2676.0499999999997</v>
      </c>
      <c r="F479" s="96">
        <f>VLOOKUP(RevenueTableAnswer[[#This Row],[Units Sold]],DiscountTableAnswer[],2)</f>
        <v>0.55000000000000004</v>
      </c>
      <c r="G479" s="96">
        <f>ROUND((1-RevenueTableAnswer[[#This Row],[Discount on Total Revenue]])*RevenueTableAnswer[[#This Row],[Total Revenue]],2)</f>
        <v>1204.22</v>
      </c>
    </row>
    <row r="480" spans="1:7" x14ac:dyDescent="0.3">
      <c r="A480" s="101">
        <v>43040</v>
      </c>
      <c r="B480" s="96" t="s">
        <v>5</v>
      </c>
      <c r="C480" s="96">
        <v>85</v>
      </c>
      <c r="D480" s="59">
        <v>22.95</v>
      </c>
      <c r="E480" s="59">
        <v>1950.75</v>
      </c>
      <c r="F480" s="96">
        <f>VLOOKUP(RevenueTableAnswer[[#This Row],[Units Sold]],DiscountTableAnswer[],2)</f>
        <v>0.375</v>
      </c>
      <c r="G480" s="96">
        <f>ROUND((1-RevenueTableAnswer[[#This Row],[Discount on Total Revenue]])*RevenueTableAnswer[[#This Row],[Total Revenue]],2)</f>
        <v>1219.22</v>
      </c>
    </row>
    <row r="481" spans="1:7" x14ac:dyDescent="0.3">
      <c r="A481" s="101">
        <v>43044</v>
      </c>
      <c r="B481" s="96" t="s">
        <v>7</v>
      </c>
      <c r="C481" s="96">
        <v>46</v>
      </c>
      <c r="D481" s="59">
        <v>43.95</v>
      </c>
      <c r="E481" s="59">
        <v>2021.7</v>
      </c>
      <c r="F481" s="96">
        <f>VLOOKUP(RevenueTableAnswer[[#This Row],[Units Sold]],DiscountTableAnswer[],2)</f>
        <v>0.25</v>
      </c>
      <c r="G481" s="96">
        <f>ROUND((1-RevenueTableAnswer[[#This Row],[Discount on Total Revenue]])*RevenueTableAnswer[[#This Row],[Total Revenue]],2)</f>
        <v>1516.28</v>
      </c>
    </row>
    <row r="482" spans="1:7" x14ac:dyDescent="0.3">
      <c r="A482" s="101">
        <v>43041</v>
      </c>
      <c r="B482" s="96" t="s">
        <v>7</v>
      </c>
      <c r="C482" s="96">
        <v>85</v>
      </c>
      <c r="D482" s="59">
        <v>43.95</v>
      </c>
      <c r="E482" s="59">
        <v>3735.7500000000005</v>
      </c>
      <c r="F482" s="96">
        <f>VLOOKUP(RevenueTableAnswer[[#This Row],[Units Sold]],DiscountTableAnswer[],2)</f>
        <v>0.375</v>
      </c>
      <c r="G482" s="96">
        <f>ROUND((1-RevenueTableAnswer[[#This Row],[Discount on Total Revenue]])*RevenueTableAnswer[[#This Row],[Total Revenue]],2)</f>
        <v>2334.84</v>
      </c>
    </row>
    <row r="483" spans="1:7" x14ac:dyDescent="0.3">
      <c r="A483" s="101">
        <v>43047</v>
      </c>
      <c r="B483" s="96" t="s">
        <v>7</v>
      </c>
      <c r="C483" s="96">
        <v>97</v>
      </c>
      <c r="D483" s="59">
        <v>43.95</v>
      </c>
      <c r="E483" s="59">
        <v>4263.1500000000005</v>
      </c>
      <c r="F483" s="96">
        <f>VLOOKUP(RevenueTableAnswer[[#This Row],[Units Sold]],DiscountTableAnswer[],2)</f>
        <v>0.4375</v>
      </c>
      <c r="G483" s="96">
        <f>ROUND((1-RevenueTableAnswer[[#This Row],[Discount on Total Revenue]])*RevenueTableAnswer[[#This Row],[Total Revenue]],2)</f>
        <v>2398.02</v>
      </c>
    </row>
    <row r="484" spans="1:7" x14ac:dyDescent="0.3">
      <c r="A484" s="101">
        <v>43047</v>
      </c>
      <c r="B484" s="96" t="s">
        <v>5</v>
      </c>
      <c r="C484" s="96">
        <v>60</v>
      </c>
      <c r="D484" s="59">
        <v>22.95</v>
      </c>
      <c r="E484" s="59">
        <v>1377</v>
      </c>
      <c r="F484" s="96">
        <f>VLOOKUP(RevenueTableAnswer[[#This Row],[Units Sold]],DiscountTableAnswer[],2)</f>
        <v>0.375</v>
      </c>
      <c r="G484" s="96">
        <f>ROUND((1-RevenueTableAnswer[[#This Row],[Discount on Total Revenue]])*RevenueTableAnswer[[#This Row],[Total Revenue]],2)</f>
        <v>860.63</v>
      </c>
    </row>
    <row r="485" spans="1:7" x14ac:dyDescent="0.3">
      <c r="A485" s="101">
        <v>43041</v>
      </c>
      <c r="B485" s="96" t="s">
        <v>13</v>
      </c>
      <c r="C485" s="96">
        <v>63</v>
      </c>
      <c r="D485" s="59">
        <v>14.95</v>
      </c>
      <c r="E485" s="59">
        <v>941.84999999999991</v>
      </c>
      <c r="F485" s="96">
        <f>VLOOKUP(RevenueTableAnswer[[#This Row],[Units Sold]],DiscountTableAnswer[],2)</f>
        <v>0.375</v>
      </c>
      <c r="G485" s="96">
        <f>ROUND((1-RevenueTableAnswer[[#This Row],[Discount on Total Revenue]])*RevenueTableAnswer[[#This Row],[Total Revenue]],2)</f>
        <v>588.66</v>
      </c>
    </row>
    <row r="486" spans="1:7" x14ac:dyDescent="0.3">
      <c r="A486" s="101">
        <v>43042</v>
      </c>
      <c r="B486" s="96" t="s">
        <v>13</v>
      </c>
      <c r="C486" s="96">
        <v>74</v>
      </c>
      <c r="D486" s="59">
        <v>14.95</v>
      </c>
      <c r="E486" s="59">
        <v>1106.3</v>
      </c>
      <c r="F486" s="96">
        <f>VLOOKUP(RevenueTableAnswer[[#This Row],[Units Sold]],DiscountTableAnswer[],2)</f>
        <v>0.375</v>
      </c>
      <c r="G486" s="96">
        <f>ROUND((1-RevenueTableAnswer[[#This Row],[Discount on Total Revenue]])*RevenueTableAnswer[[#This Row],[Total Revenue]],2)</f>
        <v>691.44</v>
      </c>
    </row>
    <row r="487" spans="1:7" x14ac:dyDescent="0.3">
      <c r="A487" s="101">
        <v>43045</v>
      </c>
      <c r="B487" s="96" t="s">
        <v>5</v>
      </c>
      <c r="C487" s="96">
        <v>171</v>
      </c>
      <c r="D487" s="59">
        <v>22.95</v>
      </c>
      <c r="E487" s="59">
        <v>3924.45</v>
      </c>
      <c r="F487" s="96">
        <f>VLOOKUP(RevenueTableAnswer[[#This Row],[Units Sold]],DiscountTableAnswer[],2)</f>
        <v>0.55000000000000004</v>
      </c>
      <c r="G487" s="96">
        <f>ROUND((1-RevenueTableAnswer[[#This Row],[Discount on Total Revenue]])*RevenueTableAnswer[[#This Row],[Total Revenue]],2)</f>
        <v>1766</v>
      </c>
    </row>
    <row r="488" spans="1:7" x14ac:dyDescent="0.3">
      <c r="A488" s="101">
        <v>43040</v>
      </c>
      <c r="B488" s="96" t="s">
        <v>5</v>
      </c>
      <c r="C488" s="96">
        <v>73</v>
      </c>
      <c r="D488" s="59">
        <v>22.95</v>
      </c>
      <c r="E488" s="59">
        <v>1675.35</v>
      </c>
      <c r="F488" s="96">
        <f>VLOOKUP(RevenueTableAnswer[[#This Row],[Units Sold]],DiscountTableAnswer[],2)</f>
        <v>0.375</v>
      </c>
      <c r="G488" s="96">
        <f>ROUND((1-RevenueTableAnswer[[#This Row],[Discount on Total Revenue]])*RevenueTableAnswer[[#This Row],[Total Revenue]],2)</f>
        <v>1047.0899999999999</v>
      </c>
    </row>
    <row r="489" spans="1:7" x14ac:dyDescent="0.3">
      <c r="A489" s="101">
        <v>43046</v>
      </c>
      <c r="B489" s="96" t="s">
        <v>13</v>
      </c>
      <c r="C489" s="96">
        <v>85</v>
      </c>
      <c r="D489" s="59">
        <v>14.95</v>
      </c>
      <c r="E489" s="59">
        <v>1270.75</v>
      </c>
      <c r="F489" s="96">
        <f>VLOOKUP(RevenueTableAnswer[[#This Row],[Units Sold]],DiscountTableAnswer[],2)</f>
        <v>0.375</v>
      </c>
      <c r="G489" s="96">
        <f>ROUND((1-RevenueTableAnswer[[#This Row],[Discount on Total Revenue]])*RevenueTableAnswer[[#This Row],[Total Revenue]],2)</f>
        <v>794.22</v>
      </c>
    </row>
    <row r="490" spans="1:7" x14ac:dyDescent="0.3">
      <c r="A490" s="101">
        <v>43047</v>
      </c>
      <c r="B490" s="96" t="s">
        <v>13</v>
      </c>
      <c r="C490" s="96">
        <v>35</v>
      </c>
      <c r="D490" s="59">
        <v>14.95</v>
      </c>
      <c r="E490" s="59">
        <v>523.25</v>
      </c>
      <c r="F490" s="96">
        <f>VLOOKUP(RevenueTableAnswer[[#This Row],[Units Sold]],DiscountTableAnswer[],2)</f>
        <v>0.25</v>
      </c>
      <c r="G490" s="96">
        <f>ROUND((1-RevenueTableAnswer[[#This Row],[Discount on Total Revenue]])*RevenueTableAnswer[[#This Row],[Total Revenue]],2)</f>
        <v>392.44</v>
      </c>
    </row>
    <row r="491" spans="1:7" x14ac:dyDescent="0.3">
      <c r="A491" s="101">
        <v>43045</v>
      </c>
      <c r="B491" s="96" t="s">
        <v>8</v>
      </c>
      <c r="C491" s="96">
        <v>89</v>
      </c>
      <c r="D491" s="59">
        <v>21.95</v>
      </c>
      <c r="E491" s="59">
        <v>1953.55</v>
      </c>
      <c r="F491" s="96">
        <f>VLOOKUP(RevenueTableAnswer[[#This Row],[Units Sold]],DiscountTableAnswer[],2)</f>
        <v>0.375</v>
      </c>
      <c r="G491" s="96">
        <f>ROUND((1-RevenueTableAnswer[[#This Row],[Discount on Total Revenue]])*RevenueTableAnswer[[#This Row],[Total Revenue]],2)</f>
        <v>1220.97</v>
      </c>
    </row>
    <row r="492" spans="1:7" x14ac:dyDescent="0.3">
      <c r="A492" s="101">
        <v>43040</v>
      </c>
      <c r="B492" s="96" t="s">
        <v>8</v>
      </c>
      <c r="C492" s="96">
        <v>95</v>
      </c>
      <c r="D492" s="59">
        <v>21.95</v>
      </c>
      <c r="E492" s="59">
        <v>2085.25</v>
      </c>
      <c r="F492" s="96">
        <f>VLOOKUP(RevenueTableAnswer[[#This Row],[Units Sold]],DiscountTableAnswer[],2)</f>
        <v>0.375</v>
      </c>
      <c r="G492" s="96">
        <f>ROUND((1-RevenueTableAnswer[[#This Row],[Discount on Total Revenue]])*RevenueTableAnswer[[#This Row],[Total Revenue]],2)</f>
        <v>1303.28</v>
      </c>
    </row>
    <row r="493" spans="1:7" x14ac:dyDescent="0.3">
      <c r="A493" s="101">
        <v>43047</v>
      </c>
      <c r="B493" s="96" t="s">
        <v>7</v>
      </c>
      <c r="C493" s="96">
        <v>125</v>
      </c>
      <c r="D493" s="59">
        <v>43.95</v>
      </c>
      <c r="E493" s="59">
        <v>5493.75</v>
      </c>
      <c r="F493" s="96">
        <f>VLOOKUP(RevenueTableAnswer[[#This Row],[Units Sold]],DiscountTableAnswer[],2)</f>
        <v>0.4375</v>
      </c>
      <c r="G493" s="96">
        <f>ROUND((1-RevenueTableAnswer[[#This Row],[Discount on Total Revenue]])*RevenueTableAnswer[[#This Row],[Total Revenue]],2)</f>
        <v>3090.23</v>
      </c>
    </row>
    <row r="494" spans="1:7" x14ac:dyDescent="0.3">
      <c r="A494" s="101">
        <v>43046</v>
      </c>
      <c r="B494" s="96" t="s">
        <v>5</v>
      </c>
      <c r="C494" s="96">
        <v>78</v>
      </c>
      <c r="D494" s="59">
        <v>22.95</v>
      </c>
      <c r="E494" s="59">
        <v>1790.1</v>
      </c>
      <c r="F494" s="96">
        <f>VLOOKUP(RevenueTableAnswer[[#This Row],[Units Sold]],DiscountTableAnswer[],2)</f>
        <v>0.375</v>
      </c>
      <c r="G494" s="96">
        <f>ROUND((1-RevenueTableAnswer[[#This Row],[Discount on Total Revenue]])*RevenueTableAnswer[[#This Row],[Total Revenue]],2)</f>
        <v>1118.81</v>
      </c>
    </row>
    <row r="495" spans="1:7" x14ac:dyDescent="0.3">
      <c r="A495" s="101">
        <v>43046</v>
      </c>
      <c r="B495" s="96" t="s">
        <v>5</v>
      </c>
      <c r="C495" s="96">
        <v>187</v>
      </c>
      <c r="D495" s="59">
        <v>22.95</v>
      </c>
      <c r="E495" s="59">
        <v>4291.6499999999996</v>
      </c>
      <c r="F495" s="96">
        <f>VLOOKUP(RevenueTableAnswer[[#This Row],[Units Sold]],DiscountTableAnswer[],2)</f>
        <v>0.55000000000000004</v>
      </c>
      <c r="G495" s="96">
        <f>ROUND((1-RevenueTableAnswer[[#This Row],[Discount on Total Revenue]])*RevenueTableAnswer[[#This Row],[Total Revenue]],2)</f>
        <v>1931.24</v>
      </c>
    </row>
    <row r="496" spans="1:7" x14ac:dyDescent="0.3">
      <c r="A496" s="101">
        <v>43044</v>
      </c>
      <c r="B496" s="96" t="s">
        <v>7</v>
      </c>
      <c r="C496" s="96">
        <v>33</v>
      </c>
      <c r="D496" s="59">
        <v>43.95</v>
      </c>
      <c r="E496" s="59">
        <v>1450.3500000000001</v>
      </c>
      <c r="F496" s="96">
        <f>VLOOKUP(RevenueTableAnswer[[#This Row],[Units Sold]],DiscountTableAnswer[],2)</f>
        <v>0.25</v>
      </c>
      <c r="G496" s="96">
        <f>ROUND((1-RevenueTableAnswer[[#This Row],[Discount on Total Revenue]])*RevenueTableAnswer[[#This Row],[Total Revenue]],2)</f>
        <v>1087.76</v>
      </c>
    </row>
    <row r="497" spans="1:7" x14ac:dyDescent="0.3">
      <c r="A497" s="101">
        <v>43042</v>
      </c>
      <c r="B497" s="96" t="s">
        <v>7</v>
      </c>
      <c r="C497" s="96">
        <v>104</v>
      </c>
      <c r="D497" s="59">
        <v>43.95</v>
      </c>
      <c r="E497" s="59">
        <v>4570.8</v>
      </c>
      <c r="F497" s="96">
        <f>VLOOKUP(RevenueTableAnswer[[#This Row],[Units Sold]],DiscountTableAnswer[],2)</f>
        <v>0.4375</v>
      </c>
      <c r="G497" s="96">
        <f>ROUND((1-RevenueTableAnswer[[#This Row],[Discount on Total Revenue]])*RevenueTableAnswer[[#This Row],[Total Revenue]],2)</f>
        <v>2571.08</v>
      </c>
    </row>
    <row r="498" spans="1:7" x14ac:dyDescent="0.3">
      <c r="A498" s="101">
        <v>43042</v>
      </c>
      <c r="B498" s="96" t="s">
        <v>7</v>
      </c>
      <c r="C498" s="96">
        <v>25</v>
      </c>
      <c r="D498" s="59">
        <v>43.95</v>
      </c>
      <c r="E498" s="59">
        <v>1098.75</v>
      </c>
      <c r="F498" s="96">
        <f>VLOOKUP(RevenueTableAnswer[[#This Row],[Units Sold]],DiscountTableAnswer[],2)</f>
        <v>0.25</v>
      </c>
      <c r="G498" s="96">
        <f>ROUND((1-RevenueTableAnswer[[#This Row],[Discount on Total Revenue]])*RevenueTableAnswer[[#This Row],[Total Revenue]],2)</f>
        <v>824.06</v>
      </c>
    </row>
    <row r="499" spans="1:7" x14ac:dyDescent="0.3">
      <c r="A499" s="101">
        <v>43044</v>
      </c>
      <c r="B499" s="96" t="s">
        <v>5</v>
      </c>
      <c r="C499" s="96">
        <v>166</v>
      </c>
      <c r="D499" s="59">
        <v>22.95</v>
      </c>
      <c r="E499" s="59">
        <v>3809.7</v>
      </c>
      <c r="F499" s="96">
        <f>VLOOKUP(RevenueTableAnswer[[#This Row],[Units Sold]],DiscountTableAnswer[],2)</f>
        <v>0.5</v>
      </c>
      <c r="G499" s="96">
        <f>ROUND((1-RevenueTableAnswer[[#This Row],[Discount on Total Revenue]])*RevenueTableAnswer[[#This Row],[Total Revenue]],2)</f>
        <v>1904.85</v>
      </c>
    </row>
    <row r="500" spans="1:7" x14ac:dyDescent="0.3">
      <c r="A500" s="101">
        <v>43041</v>
      </c>
      <c r="B500" s="96" t="s">
        <v>7</v>
      </c>
      <c r="C500" s="96">
        <v>58</v>
      </c>
      <c r="D500" s="59">
        <v>43.95</v>
      </c>
      <c r="E500" s="59">
        <v>2549.1000000000004</v>
      </c>
      <c r="F500" s="96">
        <f>VLOOKUP(RevenueTableAnswer[[#This Row],[Units Sold]],DiscountTableAnswer[],2)</f>
        <v>0.375</v>
      </c>
      <c r="G500" s="96">
        <f>ROUND((1-RevenueTableAnswer[[#This Row],[Discount on Total Revenue]])*RevenueTableAnswer[[#This Row],[Total Revenue]],2)</f>
        <v>1593.19</v>
      </c>
    </row>
    <row r="501" spans="1:7" x14ac:dyDescent="0.3">
      <c r="A501" s="101">
        <v>43043</v>
      </c>
      <c r="B501" s="96" t="s">
        <v>5</v>
      </c>
      <c r="C501" s="96">
        <v>94</v>
      </c>
      <c r="D501" s="59">
        <v>22.95</v>
      </c>
      <c r="E501" s="59">
        <v>2157.2999999999997</v>
      </c>
      <c r="F501" s="96">
        <f>VLOOKUP(RevenueTableAnswer[[#This Row],[Units Sold]],DiscountTableAnswer[],2)</f>
        <v>0.375</v>
      </c>
      <c r="G501" s="96">
        <f>ROUND((1-RevenueTableAnswer[[#This Row],[Discount on Total Revenue]])*RevenueTableAnswer[[#This Row],[Total Revenue]],2)</f>
        <v>1348.31</v>
      </c>
    </row>
    <row r="502" spans="1:7" x14ac:dyDescent="0.3">
      <c r="A502" s="101">
        <v>43044</v>
      </c>
      <c r="B502" s="96" t="s">
        <v>7</v>
      </c>
      <c r="C502" s="96">
        <v>49</v>
      </c>
      <c r="D502" s="59">
        <v>43.95</v>
      </c>
      <c r="E502" s="59">
        <v>2153.5500000000002</v>
      </c>
      <c r="F502" s="96">
        <f>VLOOKUP(RevenueTableAnswer[[#This Row],[Units Sold]],DiscountTableAnswer[],2)</f>
        <v>0.375</v>
      </c>
      <c r="G502" s="96">
        <f>ROUND((1-RevenueTableAnswer[[#This Row],[Discount on Total Revenue]])*RevenueTableAnswer[[#This Row],[Total Revenue]],2)</f>
        <v>1345.97</v>
      </c>
    </row>
    <row r="503" spans="1:7" x14ac:dyDescent="0.3">
      <c r="A503" s="101">
        <v>43041</v>
      </c>
      <c r="B503" s="96" t="s">
        <v>7</v>
      </c>
      <c r="C503" s="96">
        <v>92</v>
      </c>
      <c r="D503" s="59">
        <v>43.95</v>
      </c>
      <c r="E503" s="59">
        <v>4043.4</v>
      </c>
      <c r="F503" s="96">
        <f>VLOOKUP(RevenueTableAnswer[[#This Row],[Units Sold]],DiscountTableAnswer[],2)</f>
        <v>0.375</v>
      </c>
      <c r="G503" s="96">
        <f>ROUND((1-RevenueTableAnswer[[#This Row],[Discount on Total Revenue]])*RevenueTableAnswer[[#This Row],[Total Revenue]],2)</f>
        <v>2527.13</v>
      </c>
    </row>
    <row r="504" spans="1:7" x14ac:dyDescent="0.3">
      <c r="A504" s="101">
        <v>43045</v>
      </c>
      <c r="B504" s="96" t="s">
        <v>5</v>
      </c>
      <c r="C504" s="96">
        <v>71</v>
      </c>
      <c r="D504" s="59">
        <v>22.95</v>
      </c>
      <c r="E504" s="59">
        <v>1629.45</v>
      </c>
      <c r="F504" s="96">
        <f>VLOOKUP(RevenueTableAnswer[[#This Row],[Units Sold]],DiscountTableAnswer[],2)</f>
        <v>0.375</v>
      </c>
      <c r="G504" s="96">
        <f>ROUND((1-RevenueTableAnswer[[#This Row],[Discount on Total Revenue]])*RevenueTableAnswer[[#This Row],[Total Revenue]],2)</f>
        <v>1018.41</v>
      </c>
    </row>
    <row r="505" spans="1:7" x14ac:dyDescent="0.3">
      <c r="A505" s="101">
        <v>43041</v>
      </c>
      <c r="B505" s="96" t="s">
        <v>13</v>
      </c>
      <c r="C505" s="96">
        <v>27</v>
      </c>
      <c r="D505" s="59">
        <v>14.95</v>
      </c>
      <c r="E505" s="59">
        <v>403.65</v>
      </c>
      <c r="F505" s="96">
        <f>VLOOKUP(RevenueTableAnswer[[#This Row],[Units Sold]],DiscountTableAnswer[],2)</f>
        <v>0.25</v>
      </c>
      <c r="G505" s="96">
        <f>ROUND((1-RevenueTableAnswer[[#This Row],[Discount on Total Revenue]])*RevenueTableAnswer[[#This Row],[Total Revenue]],2)</f>
        <v>302.74</v>
      </c>
    </row>
    <row r="506" spans="1:7" x14ac:dyDescent="0.3">
      <c r="A506" s="101">
        <v>43046</v>
      </c>
      <c r="B506" s="96" t="s">
        <v>5</v>
      </c>
      <c r="C506" s="96">
        <v>5</v>
      </c>
      <c r="D506" s="59">
        <v>22.95</v>
      </c>
      <c r="E506" s="59">
        <v>114.75</v>
      </c>
      <c r="F506" s="96">
        <f>VLOOKUP(RevenueTableAnswer[[#This Row],[Units Sold]],DiscountTableAnswer[],2)</f>
        <v>0</v>
      </c>
      <c r="G506" s="96">
        <f>ROUND((1-RevenueTableAnswer[[#This Row],[Discount on Total Revenue]])*RevenueTableAnswer[[#This Row],[Total Revenue]],2)</f>
        <v>114.75</v>
      </c>
    </row>
    <row r="507" spans="1:7" x14ac:dyDescent="0.3">
      <c r="A507" s="101">
        <v>43043</v>
      </c>
      <c r="B507" s="96" t="s">
        <v>7</v>
      </c>
      <c r="C507" s="96">
        <v>190</v>
      </c>
      <c r="D507" s="59">
        <v>43.95</v>
      </c>
      <c r="E507" s="59">
        <v>8350.5</v>
      </c>
      <c r="F507" s="96">
        <f>VLOOKUP(RevenueTableAnswer[[#This Row],[Units Sold]],DiscountTableAnswer[],2)</f>
        <v>0.55000000000000004</v>
      </c>
      <c r="G507" s="96">
        <f>ROUND((1-RevenueTableAnswer[[#This Row],[Discount on Total Revenue]])*RevenueTableAnswer[[#This Row],[Total Revenue]],2)</f>
        <v>3757.73</v>
      </c>
    </row>
    <row r="508" spans="1:7" x14ac:dyDescent="0.3">
      <c r="A508" s="101">
        <v>43043</v>
      </c>
      <c r="B508" s="96" t="s">
        <v>5</v>
      </c>
      <c r="C508" s="96">
        <v>146</v>
      </c>
      <c r="D508" s="59">
        <v>22.95</v>
      </c>
      <c r="E508" s="59">
        <v>3350.7</v>
      </c>
      <c r="F508" s="96">
        <f>VLOOKUP(RevenueTableAnswer[[#This Row],[Units Sold]],DiscountTableAnswer[],2)</f>
        <v>0.5</v>
      </c>
      <c r="G508" s="96">
        <f>ROUND((1-RevenueTableAnswer[[#This Row],[Discount on Total Revenue]])*RevenueTableAnswer[[#This Row],[Total Revenue]],2)</f>
        <v>1675.35</v>
      </c>
    </row>
    <row r="509" spans="1:7" x14ac:dyDescent="0.3">
      <c r="A509" s="101">
        <v>43046</v>
      </c>
      <c r="B509" s="96" t="s">
        <v>8</v>
      </c>
      <c r="C509" s="96">
        <v>183</v>
      </c>
      <c r="D509" s="59">
        <v>21.95</v>
      </c>
      <c r="E509" s="59">
        <v>4016.85</v>
      </c>
      <c r="F509" s="96">
        <f>VLOOKUP(RevenueTableAnswer[[#This Row],[Units Sold]],DiscountTableAnswer[],2)</f>
        <v>0.55000000000000004</v>
      </c>
      <c r="G509" s="96">
        <f>ROUND((1-RevenueTableAnswer[[#This Row],[Discount on Total Revenue]])*RevenueTableAnswer[[#This Row],[Total Revenue]],2)</f>
        <v>1807.58</v>
      </c>
    </row>
    <row r="510" spans="1:7" x14ac:dyDescent="0.3">
      <c r="A510" s="101">
        <v>43043</v>
      </c>
      <c r="B510" s="96" t="s">
        <v>5</v>
      </c>
      <c r="C510" s="96">
        <v>163</v>
      </c>
      <c r="D510" s="59">
        <v>22.95</v>
      </c>
      <c r="E510" s="59">
        <v>3740.85</v>
      </c>
      <c r="F510" s="96">
        <f>VLOOKUP(RevenueTableAnswer[[#This Row],[Units Sold]],DiscountTableAnswer[],2)</f>
        <v>0.5</v>
      </c>
      <c r="G510" s="96">
        <f>ROUND((1-RevenueTableAnswer[[#This Row],[Discount on Total Revenue]])*RevenueTableAnswer[[#This Row],[Total Revenue]],2)</f>
        <v>1870.43</v>
      </c>
    </row>
    <row r="511" spans="1:7" x14ac:dyDescent="0.3">
      <c r="A511" s="101">
        <v>43046</v>
      </c>
      <c r="B511" s="96" t="s">
        <v>8</v>
      </c>
      <c r="C511" s="96">
        <v>138</v>
      </c>
      <c r="D511" s="59">
        <v>21.95</v>
      </c>
      <c r="E511" s="59">
        <v>3029.1</v>
      </c>
      <c r="F511" s="96">
        <f>VLOOKUP(RevenueTableAnswer[[#This Row],[Units Sold]],DiscountTableAnswer[],2)</f>
        <v>0.4375</v>
      </c>
      <c r="G511" s="96">
        <f>ROUND((1-RevenueTableAnswer[[#This Row],[Discount on Total Revenue]])*RevenueTableAnswer[[#This Row],[Total Revenue]],2)</f>
        <v>1703.87</v>
      </c>
    </row>
    <row r="512" spans="1:7" x14ac:dyDescent="0.3">
      <c r="A512" s="101">
        <v>43045</v>
      </c>
      <c r="B512" s="96" t="s">
        <v>8</v>
      </c>
      <c r="C512" s="96">
        <v>151</v>
      </c>
      <c r="D512" s="59">
        <v>21.95</v>
      </c>
      <c r="E512" s="59">
        <v>3314.45</v>
      </c>
      <c r="F512" s="96">
        <f>VLOOKUP(RevenueTableAnswer[[#This Row],[Units Sold]],DiscountTableAnswer[],2)</f>
        <v>0.5</v>
      </c>
      <c r="G512" s="96">
        <f>ROUND((1-RevenueTableAnswer[[#This Row],[Discount on Total Revenue]])*RevenueTableAnswer[[#This Row],[Total Revenue]],2)</f>
        <v>1657.23</v>
      </c>
    </row>
    <row r="513" spans="1:7" x14ac:dyDescent="0.3">
      <c r="A513" s="101">
        <v>43040</v>
      </c>
      <c r="B513" s="96" t="s">
        <v>13</v>
      </c>
      <c r="C513" s="96">
        <v>110</v>
      </c>
      <c r="D513" s="59">
        <v>14.95</v>
      </c>
      <c r="E513" s="59">
        <v>1644.5</v>
      </c>
      <c r="F513" s="96">
        <f>VLOOKUP(RevenueTableAnswer[[#This Row],[Units Sold]],DiscountTableAnswer[],2)</f>
        <v>0.4375</v>
      </c>
      <c r="G513" s="96">
        <f>ROUND((1-RevenueTableAnswer[[#This Row],[Discount on Total Revenue]])*RevenueTableAnswer[[#This Row],[Total Revenue]],2)</f>
        <v>925.03</v>
      </c>
    </row>
    <row r="514" spans="1:7" x14ac:dyDescent="0.3">
      <c r="A514" s="101">
        <v>43046</v>
      </c>
      <c r="B514" s="96" t="s">
        <v>7</v>
      </c>
      <c r="C514" s="96">
        <v>95</v>
      </c>
      <c r="D514" s="59">
        <v>43.95</v>
      </c>
      <c r="E514" s="59">
        <v>4175.25</v>
      </c>
      <c r="F514" s="96">
        <f>VLOOKUP(RevenueTableAnswer[[#This Row],[Units Sold]],DiscountTableAnswer[],2)</f>
        <v>0.375</v>
      </c>
      <c r="G514" s="96">
        <f>ROUND((1-RevenueTableAnswer[[#This Row],[Discount on Total Revenue]])*RevenueTableAnswer[[#This Row],[Total Revenue]],2)</f>
        <v>2609.5300000000002</v>
      </c>
    </row>
    <row r="515" spans="1:7" x14ac:dyDescent="0.3">
      <c r="A515" s="101">
        <v>43042</v>
      </c>
      <c r="B515" s="96" t="s">
        <v>8</v>
      </c>
      <c r="C515" s="96">
        <v>89</v>
      </c>
      <c r="D515" s="59">
        <v>21.95</v>
      </c>
      <c r="E515" s="59">
        <v>1953.55</v>
      </c>
      <c r="F515" s="96">
        <f>VLOOKUP(RevenueTableAnswer[[#This Row],[Units Sold]],DiscountTableAnswer[],2)</f>
        <v>0.375</v>
      </c>
      <c r="G515" s="96">
        <f>ROUND((1-RevenueTableAnswer[[#This Row],[Discount on Total Revenue]])*RevenueTableAnswer[[#This Row],[Total Revenue]],2)</f>
        <v>1220.97</v>
      </c>
    </row>
    <row r="516" spans="1:7" x14ac:dyDescent="0.3">
      <c r="A516" s="101">
        <v>43040</v>
      </c>
      <c r="B516" s="96" t="s">
        <v>5</v>
      </c>
      <c r="C516" s="96">
        <v>181</v>
      </c>
      <c r="D516" s="59">
        <v>22.95</v>
      </c>
      <c r="E516" s="59">
        <v>4153.95</v>
      </c>
      <c r="F516" s="96">
        <f>VLOOKUP(RevenueTableAnswer[[#This Row],[Units Sold]],DiscountTableAnswer[],2)</f>
        <v>0.55000000000000004</v>
      </c>
      <c r="G516" s="96">
        <f>ROUND((1-RevenueTableAnswer[[#This Row],[Discount on Total Revenue]])*RevenueTableAnswer[[#This Row],[Total Revenue]],2)</f>
        <v>1869.28</v>
      </c>
    </row>
    <row r="517" spans="1:7" x14ac:dyDescent="0.3">
      <c r="A517" s="101">
        <v>43047</v>
      </c>
      <c r="B517" s="96" t="s">
        <v>7</v>
      </c>
      <c r="C517" s="96">
        <v>106</v>
      </c>
      <c r="D517" s="59">
        <v>43.95</v>
      </c>
      <c r="E517" s="59">
        <v>4658.7000000000007</v>
      </c>
      <c r="F517" s="96">
        <f>VLOOKUP(RevenueTableAnswer[[#This Row],[Units Sold]],DiscountTableAnswer[],2)</f>
        <v>0.4375</v>
      </c>
      <c r="G517" s="96">
        <f>ROUND((1-RevenueTableAnswer[[#This Row],[Discount on Total Revenue]])*RevenueTableAnswer[[#This Row],[Total Revenue]],2)</f>
        <v>2620.52</v>
      </c>
    </row>
    <row r="518" spans="1:7" x14ac:dyDescent="0.3">
      <c r="A518" s="101">
        <v>43042</v>
      </c>
      <c r="B518" s="96" t="s">
        <v>8</v>
      </c>
      <c r="C518" s="96">
        <v>97</v>
      </c>
      <c r="D518" s="59">
        <v>21.95</v>
      </c>
      <c r="E518" s="59">
        <v>2129.15</v>
      </c>
      <c r="F518" s="96">
        <f>VLOOKUP(RevenueTableAnswer[[#This Row],[Units Sold]],DiscountTableAnswer[],2)</f>
        <v>0.4375</v>
      </c>
      <c r="G518" s="96">
        <f>ROUND((1-RevenueTableAnswer[[#This Row],[Discount on Total Revenue]])*RevenueTableAnswer[[#This Row],[Total Revenue]],2)</f>
        <v>1197.6500000000001</v>
      </c>
    </row>
    <row r="519" spans="1:7" x14ac:dyDescent="0.3">
      <c r="A519" s="101">
        <v>43041</v>
      </c>
      <c r="B519" s="96" t="s">
        <v>5</v>
      </c>
      <c r="C519" s="96">
        <v>62</v>
      </c>
      <c r="D519" s="59">
        <v>22.95</v>
      </c>
      <c r="E519" s="59">
        <v>1422.8999999999999</v>
      </c>
      <c r="F519" s="96">
        <f>VLOOKUP(RevenueTableAnswer[[#This Row],[Units Sold]],DiscountTableAnswer[],2)</f>
        <v>0.375</v>
      </c>
      <c r="G519" s="96">
        <f>ROUND((1-RevenueTableAnswer[[#This Row],[Discount on Total Revenue]])*RevenueTableAnswer[[#This Row],[Total Revenue]],2)</f>
        <v>889.31</v>
      </c>
    </row>
    <row r="520" spans="1:7" x14ac:dyDescent="0.3">
      <c r="A520" s="101">
        <v>43047</v>
      </c>
      <c r="B520" s="96" t="s">
        <v>7</v>
      </c>
      <c r="C520" s="96">
        <v>124</v>
      </c>
      <c r="D520" s="59">
        <v>43.95</v>
      </c>
      <c r="E520" s="59">
        <v>5449.8</v>
      </c>
      <c r="F520" s="96">
        <f>VLOOKUP(RevenueTableAnswer[[#This Row],[Units Sold]],DiscountTableAnswer[],2)</f>
        <v>0.4375</v>
      </c>
      <c r="G520" s="96">
        <f>ROUND((1-RevenueTableAnswer[[#This Row],[Discount on Total Revenue]])*RevenueTableAnswer[[#This Row],[Total Revenue]],2)</f>
        <v>3065.51</v>
      </c>
    </row>
    <row r="521" spans="1:7" x14ac:dyDescent="0.3">
      <c r="A521" s="101">
        <v>43045</v>
      </c>
      <c r="B521" s="96" t="s">
        <v>8</v>
      </c>
      <c r="C521" s="96">
        <v>134</v>
      </c>
      <c r="D521" s="59">
        <v>21.95</v>
      </c>
      <c r="E521" s="59">
        <v>2941.2999999999997</v>
      </c>
      <c r="F521" s="96">
        <f>VLOOKUP(RevenueTableAnswer[[#This Row],[Units Sold]],DiscountTableAnswer[],2)</f>
        <v>0.4375</v>
      </c>
      <c r="G521" s="96">
        <f>ROUND((1-RevenueTableAnswer[[#This Row],[Discount on Total Revenue]])*RevenueTableAnswer[[#This Row],[Total Revenue]],2)</f>
        <v>1654.48</v>
      </c>
    </row>
    <row r="522" spans="1:7" x14ac:dyDescent="0.3">
      <c r="A522" s="101">
        <v>43046</v>
      </c>
      <c r="B522" s="96" t="s">
        <v>5</v>
      </c>
      <c r="C522" s="96">
        <v>175</v>
      </c>
      <c r="D522" s="59">
        <v>22.95</v>
      </c>
      <c r="E522" s="59">
        <v>4016.25</v>
      </c>
      <c r="F522" s="96">
        <f>VLOOKUP(RevenueTableAnswer[[#This Row],[Units Sold]],DiscountTableAnswer[],2)</f>
        <v>0.55000000000000004</v>
      </c>
      <c r="G522" s="96">
        <f>ROUND((1-RevenueTableAnswer[[#This Row],[Discount on Total Revenue]])*RevenueTableAnswer[[#This Row],[Total Revenue]],2)</f>
        <v>1807.31</v>
      </c>
    </row>
    <row r="523" spans="1:7" x14ac:dyDescent="0.3">
      <c r="A523" s="101">
        <v>43045</v>
      </c>
      <c r="B523" s="96" t="s">
        <v>8</v>
      </c>
      <c r="C523" s="96">
        <v>112</v>
      </c>
      <c r="D523" s="59">
        <v>21.95</v>
      </c>
      <c r="E523" s="59">
        <v>2458.4</v>
      </c>
      <c r="F523" s="96">
        <f>VLOOKUP(RevenueTableAnswer[[#This Row],[Units Sold]],DiscountTableAnswer[],2)</f>
        <v>0.4375</v>
      </c>
      <c r="G523" s="96">
        <f>ROUND((1-RevenueTableAnswer[[#This Row],[Discount on Total Revenue]])*RevenueTableAnswer[[#This Row],[Total Revenue]],2)</f>
        <v>1382.85</v>
      </c>
    </row>
    <row r="524" spans="1:7" x14ac:dyDescent="0.3">
      <c r="A524" s="101">
        <v>43042</v>
      </c>
      <c r="B524" s="96" t="s">
        <v>5</v>
      </c>
      <c r="C524" s="96">
        <v>15</v>
      </c>
      <c r="D524" s="59">
        <v>22.95</v>
      </c>
      <c r="E524" s="59">
        <v>344.25</v>
      </c>
      <c r="F524" s="96">
        <f>VLOOKUP(RevenueTableAnswer[[#This Row],[Units Sold]],DiscountTableAnswer[],2)</f>
        <v>0.25</v>
      </c>
      <c r="G524" s="96">
        <f>ROUND((1-RevenueTableAnswer[[#This Row],[Discount on Total Revenue]])*RevenueTableAnswer[[#This Row],[Total Revenue]],2)</f>
        <v>258.19</v>
      </c>
    </row>
    <row r="525" spans="1:7" x14ac:dyDescent="0.3">
      <c r="A525" s="101">
        <v>43046</v>
      </c>
      <c r="B525" s="96" t="s">
        <v>8</v>
      </c>
      <c r="C525" s="96">
        <v>54</v>
      </c>
      <c r="D525" s="59">
        <v>21.95</v>
      </c>
      <c r="E525" s="59">
        <v>1185.3</v>
      </c>
      <c r="F525" s="96">
        <f>VLOOKUP(RevenueTableAnswer[[#This Row],[Units Sold]],DiscountTableAnswer[],2)</f>
        <v>0.375</v>
      </c>
      <c r="G525" s="96">
        <f>ROUND((1-RevenueTableAnswer[[#This Row],[Discount on Total Revenue]])*RevenueTableAnswer[[#This Row],[Total Revenue]],2)</f>
        <v>740.81</v>
      </c>
    </row>
    <row r="526" spans="1:7" x14ac:dyDescent="0.3">
      <c r="A526" s="101">
        <v>43043</v>
      </c>
      <c r="B526" s="96" t="s">
        <v>8</v>
      </c>
      <c r="C526" s="96">
        <v>138</v>
      </c>
      <c r="D526" s="59">
        <v>21.95</v>
      </c>
      <c r="E526" s="59">
        <v>3029.1</v>
      </c>
      <c r="F526" s="96">
        <f>VLOOKUP(RevenueTableAnswer[[#This Row],[Units Sold]],DiscountTableAnswer[],2)</f>
        <v>0.4375</v>
      </c>
      <c r="G526" s="96">
        <f>ROUND((1-RevenueTableAnswer[[#This Row],[Discount on Total Revenue]])*RevenueTableAnswer[[#This Row],[Total Revenue]],2)</f>
        <v>1703.87</v>
      </c>
    </row>
    <row r="527" spans="1:7" x14ac:dyDescent="0.3">
      <c r="A527" s="101">
        <v>43044</v>
      </c>
      <c r="B527" s="96" t="s">
        <v>8</v>
      </c>
      <c r="C527" s="96">
        <v>87</v>
      </c>
      <c r="D527" s="59">
        <v>21.95</v>
      </c>
      <c r="E527" s="59">
        <v>1909.6499999999999</v>
      </c>
      <c r="F527" s="96">
        <f>VLOOKUP(RevenueTableAnswer[[#This Row],[Units Sold]],DiscountTableAnswer[],2)</f>
        <v>0.375</v>
      </c>
      <c r="G527" s="96">
        <f>ROUND((1-RevenueTableAnswer[[#This Row],[Discount on Total Revenue]])*RevenueTableAnswer[[#This Row],[Total Revenue]],2)</f>
        <v>1193.53</v>
      </c>
    </row>
    <row r="528" spans="1:7" x14ac:dyDescent="0.3">
      <c r="A528" s="101">
        <v>43045</v>
      </c>
      <c r="B528" s="96" t="s">
        <v>13</v>
      </c>
      <c r="C528" s="96">
        <v>13</v>
      </c>
      <c r="D528" s="59">
        <v>14.95</v>
      </c>
      <c r="E528" s="59">
        <v>194.35</v>
      </c>
      <c r="F528" s="96">
        <f>VLOOKUP(RevenueTableAnswer[[#This Row],[Units Sold]],DiscountTableAnswer[],2)</f>
        <v>0.25</v>
      </c>
      <c r="G528" s="96">
        <f>ROUND((1-RevenueTableAnswer[[#This Row],[Discount on Total Revenue]])*RevenueTableAnswer[[#This Row],[Total Revenue]],2)</f>
        <v>145.76</v>
      </c>
    </row>
    <row r="529" spans="1:7" x14ac:dyDescent="0.3">
      <c r="A529" s="101">
        <v>43047</v>
      </c>
      <c r="B529" s="96" t="s">
        <v>5</v>
      </c>
      <c r="C529" s="96">
        <v>79</v>
      </c>
      <c r="D529" s="59">
        <v>22.95</v>
      </c>
      <c r="E529" s="59">
        <v>1813.05</v>
      </c>
      <c r="F529" s="96">
        <f>VLOOKUP(RevenueTableAnswer[[#This Row],[Units Sold]],DiscountTableAnswer[],2)</f>
        <v>0.375</v>
      </c>
      <c r="G529" s="96">
        <f>ROUND((1-RevenueTableAnswer[[#This Row],[Discount on Total Revenue]])*RevenueTableAnswer[[#This Row],[Total Revenue]],2)</f>
        <v>1133.1600000000001</v>
      </c>
    </row>
    <row r="530" spans="1:7" x14ac:dyDescent="0.3">
      <c r="A530" s="101">
        <v>43047</v>
      </c>
      <c r="B530" s="96" t="s">
        <v>13</v>
      </c>
      <c r="C530" s="96">
        <v>60</v>
      </c>
      <c r="D530" s="59">
        <v>14.95</v>
      </c>
      <c r="E530" s="59">
        <v>897</v>
      </c>
      <c r="F530" s="96">
        <f>VLOOKUP(RevenueTableAnswer[[#This Row],[Units Sold]],DiscountTableAnswer[],2)</f>
        <v>0.375</v>
      </c>
      <c r="G530" s="96">
        <f>ROUND((1-RevenueTableAnswer[[#This Row],[Discount on Total Revenue]])*RevenueTableAnswer[[#This Row],[Total Revenue]],2)</f>
        <v>560.63</v>
      </c>
    </row>
    <row r="531" spans="1:7" x14ac:dyDescent="0.3">
      <c r="A531" s="101">
        <v>43042</v>
      </c>
      <c r="B531" s="96" t="s">
        <v>13</v>
      </c>
      <c r="C531" s="96">
        <v>65</v>
      </c>
      <c r="D531" s="59">
        <v>14.95</v>
      </c>
      <c r="E531" s="59">
        <v>971.75</v>
      </c>
      <c r="F531" s="96">
        <f>VLOOKUP(RevenueTableAnswer[[#This Row],[Units Sold]],DiscountTableAnswer[],2)</f>
        <v>0.375</v>
      </c>
      <c r="G531" s="96">
        <f>ROUND((1-RevenueTableAnswer[[#This Row],[Discount on Total Revenue]])*RevenueTableAnswer[[#This Row],[Total Revenue]],2)</f>
        <v>607.34</v>
      </c>
    </row>
    <row r="532" spans="1:7" x14ac:dyDescent="0.3">
      <c r="A532" s="101">
        <v>43042</v>
      </c>
      <c r="B532" s="96" t="s">
        <v>7</v>
      </c>
      <c r="C532" s="96">
        <v>85</v>
      </c>
      <c r="D532" s="59">
        <v>43.95</v>
      </c>
      <c r="E532" s="59">
        <v>3735.7500000000005</v>
      </c>
      <c r="F532" s="96">
        <f>VLOOKUP(RevenueTableAnswer[[#This Row],[Units Sold]],DiscountTableAnswer[],2)</f>
        <v>0.375</v>
      </c>
      <c r="G532" s="96">
        <f>ROUND((1-RevenueTableAnswer[[#This Row],[Discount on Total Revenue]])*RevenueTableAnswer[[#This Row],[Total Revenue]],2)</f>
        <v>2334.84</v>
      </c>
    </row>
    <row r="533" spans="1:7" x14ac:dyDescent="0.3">
      <c r="A533" s="101">
        <v>43044</v>
      </c>
      <c r="B533" s="96" t="s">
        <v>13</v>
      </c>
      <c r="C533" s="96">
        <v>41</v>
      </c>
      <c r="D533" s="59">
        <v>14.95</v>
      </c>
      <c r="E533" s="59">
        <v>612.94999999999993</v>
      </c>
      <c r="F533" s="96">
        <f>VLOOKUP(RevenueTableAnswer[[#This Row],[Units Sold]],DiscountTableAnswer[],2)</f>
        <v>0.25</v>
      </c>
      <c r="G533" s="96">
        <f>ROUND((1-RevenueTableAnswer[[#This Row],[Discount on Total Revenue]])*RevenueTableAnswer[[#This Row],[Total Revenue]],2)</f>
        <v>459.71</v>
      </c>
    </row>
    <row r="534" spans="1:7" x14ac:dyDescent="0.3">
      <c r="A534" s="101">
        <v>43044</v>
      </c>
      <c r="B534" s="96" t="s">
        <v>7</v>
      </c>
      <c r="C534" s="96">
        <v>7</v>
      </c>
      <c r="D534" s="59">
        <v>43.95</v>
      </c>
      <c r="E534" s="59">
        <v>307.65000000000003</v>
      </c>
      <c r="F534" s="96">
        <f>VLOOKUP(RevenueTableAnswer[[#This Row],[Units Sold]],DiscountTableAnswer[],2)</f>
        <v>0</v>
      </c>
      <c r="G534" s="96">
        <f>ROUND((1-RevenueTableAnswer[[#This Row],[Discount on Total Revenue]])*RevenueTableAnswer[[#This Row],[Total Revenue]],2)</f>
        <v>307.64999999999998</v>
      </c>
    </row>
    <row r="535" spans="1:7" x14ac:dyDescent="0.3">
      <c r="A535" s="101">
        <v>43043</v>
      </c>
      <c r="B535" s="96" t="s">
        <v>13</v>
      </c>
      <c r="C535" s="96">
        <v>14</v>
      </c>
      <c r="D535" s="59">
        <v>14.95</v>
      </c>
      <c r="E535" s="59">
        <v>209.29999999999998</v>
      </c>
      <c r="F535" s="96">
        <f>VLOOKUP(RevenueTableAnswer[[#This Row],[Units Sold]],DiscountTableAnswer[],2)</f>
        <v>0.25</v>
      </c>
      <c r="G535" s="96">
        <f>ROUND((1-RevenueTableAnswer[[#This Row],[Discount on Total Revenue]])*RevenueTableAnswer[[#This Row],[Total Revenue]],2)</f>
        <v>156.97999999999999</v>
      </c>
    </row>
    <row r="536" spans="1:7" x14ac:dyDescent="0.3">
      <c r="A536" s="101">
        <v>43042</v>
      </c>
      <c r="B536" s="96" t="s">
        <v>5</v>
      </c>
      <c r="C536" s="96">
        <v>156</v>
      </c>
      <c r="D536" s="59">
        <v>22.95</v>
      </c>
      <c r="E536" s="59">
        <v>3580.2</v>
      </c>
      <c r="F536" s="96">
        <f>VLOOKUP(RevenueTableAnswer[[#This Row],[Units Sold]],DiscountTableAnswer[],2)</f>
        <v>0.5</v>
      </c>
      <c r="G536" s="96">
        <f>ROUND((1-RevenueTableAnswer[[#This Row],[Discount on Total Revenue]])*RevenueTableAnswer[[#This Row],[Total Revenue]],2)</f>
        <v>1790.1</v>
      </c>
    </row>
    <row r="537" spans="1:7" x14ac:dyDescent="0.3">
      <c r="A537" s="101">
        <v>43040</v>
      </c>
      <c r="B537" s="96" t="s">
        <v>13</v>
      </c>
      <c r="C537" s="96">
        <v>98</v>
      </c>
      <c r="D537" s="59">
        <v>14.95</v>
      </c>
      <c r="E537" s="59">
        <v>1465.1</v>
      </c>
      <c r="F537" s="96">
        <f>VLOOKUP(RevenueTableAnswer[[#This Row],[Units Sold]],DiscountTableAnswer[],2)</f>
        <v>0.4375</v>
      </c>
      <c r="G537" s="96">
        <f>ROUND((1-RevenueTableAnswer[[#This Row],[Discount on Total Revenue]])*RevenueTableAnswer[[#This Row],[Total Revenue]],2)</f>
        <v>824.12</v>
      </c>
    </row>
    <row r="538" spans="1:7" x14ac:dyDescent="0.3">
      <c r="A538" s="101">
        <v>43047</v>
      </c>
      <c r="B538" s="96" t="s">
        <v>7</v>
      </c>
      <c r="C538" s="96">
        <v>4</v>
      </c>
      <c r="D538" s="59">
        <v>43.95</v>
      </c>
      <c r="E538" s="59">
        <v>175.8</v>
      </c>
      <c r="F538" s="96">
        <f>VLOOKUP(RevenueTableAnswer[[#This Row],[Units Sold]],DiscountTableAnswer[],2)</f>
        <v>0</v>
      </c>
      <c r="G538" s="96">
        <f>ROUND((1-RevenueTableAnswer[[#This Row],[Discount on Total Revenue]])*RevenueTableAnswer[[#This Row],[Total Revenue]],2)</f>
        <v>175.8</v>
      </c>
    </row>
    <row r="539" spans="1:7" x14ac:dyDescent="0.3">
      <c r="A539" s="101">
        <v>43044</v>
      </c>
      <c r="B539" s="96" t="s">
        <v>8</v>
      </c>
      <c r="C539" s="96">
        <v>52</v>
      </c>
      <c r="D539" s="59">
        <v>21.95</v>
      </c>
      <c r="E539" s="59">
        <v>1141.3999999999999</v>
      </c>
      <c r="F539" s="96">
        <f>VLOOKUP(RevenueTableAnswer[[#This Row],[Units Sold]],DiscountTableAnswer[],2)</f>
        <v>0.375</v>
      </c>
      <c r="G539" s="96">
        <f>ROUND((1-RevenueTableAnswer[[#This Row],[Discount on Total Revenue]])*RevenueTableAnswer[[#This Row],[Total Revenue]],2)</f>
        <v>713.38</v>
      </c>
    </row>
    <row r="540" spans="1:7" x14ac:dyDescent="0.3">
      <c r="A540" s="101">
        <v>43042</v>
      </c>
      <c r="B540" s="96" t="s">
        <v>13</v>
      </c>
      <c r="C540" s="96">
        <v>35</v>
      </c>
      <c r="D540" s="59">
        <v>14.95</v>
      </c>
      <c r="E540" s="59">
        <v>523.25</v>
      </c>
      <c r="F540" s="96">
        <f>VLOOKUP(RevenueTableAnswer[[#This Row],[Units Sold]],DiscountTableAnswer[],2)</f>
        <v>0.25</v>
      </c>
      <c r="G540" s="96">
        <f>ROUND((1-RevenueTableAnswer[[#This Row],[Discount on Total Revenue]])*RevenueTableAnswer[[#This Row],[Total Revenue]],2)</f>
        <v>392.44</v>
      </c>
    </row>
    <row r="541" spans="1:7" x14ac:dyDescent="0.3">
      <c r="A541" s="101">
        <v>43046</v>
      </c>
      <c r="B541" s="96" t="s">
        <v>8</v>
      </c>
      <c r="C541" s="96">
        <v>101</v>
      </c>
      <c r="D541" s="59">
        <v>21.95</v>
      </c>
      <c r="E541" s="59">
        <v>2216.9499999999998</v>
      </c>
      <c r="F541" s="96">
        <f>VLOOKUP(RevenueTableAnswer[[#This Row],[Units Sold]],DiscountTableAnswer[],2)</f>
        <v>0.4375</v>
      </c>
      <c r="G541" s="96">
        <f>ROUND((1-RevenueTableAnswer[[#This Row],[Discount on Total Revenue]])*RevenueTableAnswer[[#This Row],[Total Revenue]],2)</f>
        <v>1247.03</v>
      </c>
    </row>
    <row r="542" spans="1:7" x14ac:dyDescent="0.3">
      <c r="A542" s="101">
        <v>43041</v>
      </c>
      <c r="B542" s="96" t="s">
        <v>13</v>
      </c>
      <c r="C542" s="96">
        <v>177</v>
      </c>
      <c r="D542" s="59">
        <v>14.95</v>
      </c>
      <c r="E542" s="59">
        <v>2646.15</v>
      </c>
      <c r="F542" s="96">
        <f>VLOOKUP(RevenueTableAnswer[[#This Row],[Units Sold]],DiscountTableAnswer[],2)</f>
        <v>0.55000000000000004</v>
      </c>
      <c r="G542" s="96">
        <f>ROUND((1-RevenueTableAnswer[[#This Row],[Discount on Total Revenue]])*RevenueTableAnswer[[#This Row],[Total Revenue]],2)</f>
        <v>1190.77</v>
      </c>
    </row>
    <row r="543" spans="1:7" x14ac:dyDescent="0.3">
      <c r="A543" s="101">
        <v>43043</v>
      </c>
      <c r="B543" s="96" t="s">
        <v>13</v>
      </c>
      <c r="C543" s="96">
        <v>158</v>
      </c>
      <c r="D543" s="59">
        <v>14.95</v>
      </c>
      <c r="E543" s="59">
        <v>2362.1</v>
      </c>
      <c r="F543" s="96">
        <f>VLOOKUP(RevenueTableAnswer[[#This Row],[Units Sold]],DiscountTableAnswer[],2)</f>
        <v>0.5</v>
      </c>
      <c r="G543" s="96">
        <f>ROUND((1-RevenueTableAnswer[[#This Row],[Discount on Total Revenue]])*RevenueTableAnswer[[#This Row],[Total Revenue]],2)</f>
        <v>1181.05</v>
      </c>
    </row>
    <row r="544" spans="1:7" x14ac:dyDescent="0.3">
      <c r="A544" s="101">
        <v>43045</v>
      </c>
      <c r="B544" s="96" t="s">
        <v>8</v>
      </c>
      <c r="C544" s="96">
        <v>183</v>
      </c>
      <c r="D544" s="59">
        <v>21.95</v>
      </c>
      <c r="E544" s="59">
        <v>4016.85</v>
      </c>
      <c r="F544" s="96">
        <f>VLOOKUP(RevenueTableAnswer[[#This Row],[Units Sold]],DiscountTableAnswer[],2)</f>
        <v>0.55000000000000004</v>
      </c>
      <c r="G544" s="96">
        <f>ROUND((1-RevenueTableAnswer[[#This Row],[Discount on Total Revenue]])*RevenueTableAnswer[[#This Row],[Total Revenue]],2)</f>
        <v>1807.58</v>
      </c>
    </row>
    <row r="545" spans="1:7" x14ac:dyDescent="0.3">
      <c r="A545" s="101">
        <v>43041</v>
      </c>
      <c r="B545" s="96" t="s">
        <v>13</v>
      </c>
      <c r="C545" s="96">
        <v>185</v>
      </c>
      <c r="D545" s="59">
        <v>14.95</v>
      </c>
      <c r="E545" s="59">
        <v>2765.75</v>
      </c>
      <c r="F545" s="96">
        <f>VLOOKUP(RevenueTableAnswer[[#This Row],[Units Sold]],DiscountTableAnswer[],2)</f>
        <v>0.55000000000000004</v>
      </c>
      <c r="G545" s="96">
        <f>ROUND((1-RevenueTableAnswer[[#This Row],[Discount on Total Revenue]])*RevenueTableAnswer[[#This Row],[Total Revenue]],2)</f>
        <v>1244.5899999999999</v>
      </c>
    </row>
    <row r="546" spans="1:7" x14ac:dyDescent="0.3">
      <c r="A546" s="101">
        <v>43046</v>
      </c>
      <c r="B546" s="96" t="s">
        <v>7</v>
      </c>
      <c r="C546" s="96">
        <v>87</v>
      </c>
      <c r="D546" s="59">
        <v>43.95</v>
      </c>
      <c r="E546" s="59">
        <v>3823.65</v>
      </c>
      <c r="F546" s="96">
        <f>VLOOKUP(RevenueTableAnswer[[#This Row],[Units Sold]],DiscountTableAnswer[],2)</f>
        <v>0.375</v>
      </c>
      <c r="G546" s="96">
        <f>ROUND((1-RevenueTableAnswer[[#This Row],[Discount on Total Revenue]])*RevenueTableAnswer[[#This Row],[Total Revenue]],2)</f>
        <v>2389.7800000000002</v>
      </c>
    </row>
    <row r="547" spans="1:7" x14ac:dyDescent="0.3">
      <c r="A547" s="101">
        <v>43046</v>
      </c>
      <c r="B547" s="96" t="s">
        <v>13</v>
      </c>
      <c r="C547" s="96">
        <v>148</v>
      </c>
      <c r="D547" s="59">
        <v>14.95</v>
      </c>
      <c r="E547" s="59">
        <v>2212.6</v>
      </c>
      <c r="F547" s="96">
        <f>VLOOKUP(RevenueTableAnswer[[#This Row],[Units Sold]],DiscountTableAnswer[],2)</f>
        <v>0.5</v>
      </c>
      <c r="G547" s="96">
        <f>ROUND((1-RevenueTableAnswer[[#This Row],[Discount on Total Revenue]])*RevenueTableAnswer[[#This Row],[Total Revenue]],2)</f>
        <v>1106.3</v>
      </c>
    </row>
    <row r="548" spans="1:7" x14ac:dyDescent="0.3">
      <c r="A548" s="101">
        <v>43047</v>
      </c>
      <c r="B548" s="96" t="s">
        <v>8</v>
      </c>
      <c r="C548" s="96">
        <v>141</v>
      </c>
      <c r="D548" s="59">
        <v>21.95</v>
      </c>
      <c r="E548" s="59">
        <v>3094.95</v>
      </c>
      <c r="F548" s="96">
        <f>VLOOKUP(RevenueTableAnswer[[#This Row],[Units Sold]],DiscountTableAnswer[],2)</f>
        <v>0.4375</v>
      </c>
      <c r="G548" s="96">
        <f>ROUND((1-RevenueTableAnswer[[#This Row],[Discount on Total Revenue]])*RevenueTableAnswer[[#This Row],[Total Revenue]],2)</f>
        <v>1740.91</v>
      </c>
    </row>
    <row r="549" spans="1:7" x14ac:dyDescent="0.3">
      <c r="A549" s="101">
        <v>43046</v>
      </c>
      <c r="B549" s="96" t="s">
        <v>13</v>
      </c>
      <c r="C549" s="96">
        <v>159</v>
      </c>
      <c r="D549" s="59">
        <v>14.95</v>
      </c>
      <c r="E549" s="59">
        <v>2377.0499999999997</v>
      </c>
      <c r="F549" s="96">
        <f>VLOOKUP(RevenueTableAnswer[[#This Row],[Units Sold]],DiscountTableAnswer[],2)</f>
        <v>0.5</v>
      </c>
      <c r="G549" s="96">
        <f>ROUND((1-RevenueTableAnswer[[#This Row],[Discount on Total Revenue]])*RevenueTableAnswer[[#This Row],[Total Revenue]],2)</f>
        <v>1188.53</v>
      </c>
    </row>
    <row r="550" spans="1:7" x14ac:dyDescent="0.3">
      <c r="A550" s="101">
        <v>43040</v>
      </c>
      <c r="B550" s="96" t="s">
        <v>5</v>
      </c>
      <c r="C550" s="96">
        <v>97</v>
      </c>
      <c r="D550" s="59">
        <v>22.95</v>
      </c>
      <c r="E550" s="59">
        <v>2226.15</v>
      </c>
      <c r="F550" s="96">
        <f>VLOOKUP(RevenueTableAnswer[[#This Row],[Units Sold]],DiscountTableAnswer[],2)</f>
        <v>0.4375</v>
      </c>
      <c r="G550" s="96">
        <f>ROUND((1-RevenueTableAnswer[[#This Row],[Discount on Total Revenue]])*RevenueTableAnswer[[#This Row],[Total Revenue]],2)</f>
        <v>1252.21</v>
      </c>
    </row>
    <row r="551" spans="1:7" x14ac:dyDescent="0.3">
      <c r="A551" s="101">
        <v>43043</v>
      </c>
      <c r="B551" s="96" t="s">
        <v>13</v>
      </c>
      <c r="C551" s="96">
        <v>164</v>
      </c>
      <c r="D551" s="59">
        <v>14.95</v>
      </c>
      <c r="E551" s="59">
        <v>2451.7999999999997</v>
      </c>
      <c r="F551" s="96">
        <f>VLOOKUP(RevenueTableAnswer[[#This Row],[Units Sold]],DiscountTableAnswer[],2)</f>
        <v>0.5</v>
      </c>
      <c r="G551" s="96">
        <f>ROUND((1-RevenueTableAnswer[[#This Row],[Discount on Total Revenue]])*RevenueTableAnswer[[#This Row],[Total Revenue]],2)</f>
        <v>1225.9000000000001</v>
      </c>
    </row>
    <row r="552" spans="1:7" x14ac:dyDescent="0.3">
      <c r="A552" s="101">
        <v>43042</v>
      </c>
      <c r="B552" s="96" t="s">
        <v>8</v>
      </c>
      <c r="C552" s="96">
        <v>174</v>
      </c>
      <c r="D552" s="59">
        <v>21.95</v>
      </c>
      <c r="E552" s="59">
        <v>3819.2999999999997</v>
      </c>
      <c r="F552" s="96">
        <f>VLOOKUP(RevenueTableAnswer[[#This Row],[Units Sold]],DiscountTableAnswer[],2)</f>
        <v>0.55000000000000004</v>
      </c>
      <c r="G552" s="96">
        <f>ROUND((1-RevenueTableAnswer[[#This Row],[Discount on Total Revenue]])*RevenueTableAnswer[[#This Row],[Total Revenue]],2)</f>
        <v>1718.69</v>
      </c>
    </row>
    <row r="553" spans="1:7" x14ac:dyDescent="0.3">
      <c r="A553" s="101">
        <v>43046</v>
      </c>
      <c r="B553" s="96" t="s">
        <v>13</v>
      </c>
      <c r="C553" s="96">
        <v>92</v>
      </c>
      <c r="D553" s="59">
        <v>14.95</v>
      </c>
      <c r="E553" s="59">
        <v>1375.3999999999999</v>
      </c>
      <c r="F553" s="96">
        <f>VLOOKUP(RevenueTableAnswer[[#This Row],[Units Sold]],DiscountTableAnswer[],2)</f>
        <v>0.375</v>
      </c>
      <c r="G553" s="96">
        <f>ROUND((1-RevenueTableAnswer[[#This Row],[Discount on Total Revenue]])*RevenueTableAnswer[[#This Row],[Total Revenue]],2)</f>
        <v>859.63</v>
      </c>
    </row>
    <row r="554" spans="1:7" x14ac:dyDescent="0.3">
      <c r="A554" s="101">
        <v>43044</v>
      </c>
      <c r="B554" s="96" t="s">
        <v>7</v>
      </c>
      <c r="C554" s="96">
        <v>132</v>
      </c>
      <c r="D554" s="59">
        <v>43.95</v>
      </c>
      <c r="E554" s="59">
        <v>5801.4000000000005</v>
      </c>
      <c r="F554" s="96">
        <f>VLOOKUP(RevenueTableAnswer[[#This Row],[Units Sold]],DiscountTableAnswer[],2)</f>
        <v>0.4375</v>
      </c>
      <c r="G554" s="96">
        <f>ROUND((1-RevenueTableAnswer[[#This Row],[Discount on Total Revenue]])*RevenueTableAnswer[[#This Row],[Total Revenue]],2)</f>
        <v>3263.29</v>
      </c>
    </row>
    <row r="555" spans="1:7" x14ac:dyDescent="0.3">
      <c r="A555" s="101">
        <v>43044</v>
      </c>
      <c r="B555" s="96" t="s">
        <v>7</v>
      </c>
      <c r="C555" s="96">
        <v>140</v>
      </c>
      <c r="D555" s="59">
        <v>43.95</v>
      </c>
      <c r="E555" s="59">
        <v>6153</v>
      </c>
      <c r="F555" s="96">
        <f>VLOOKUP(RevenueTableAnswer[[#This Row],[Units Sold]],DiscountTableAnswer[],2)</f>
        <v>0.4375</v>
      </c>
      <c r="G555" s="96">
        <f>ROUND((1-RevenueTableAnswer[[#This Row],[Discount on Total Revenue]])*RevenueTableAnswer[[#This Row],[Total Revenue]],2)</f>
        <v>3461.06</v>
      </c>
    </row>
    <row r="556" spans="1:7" x14ac:dyDescent="0.3">
      <c r="A556" s="101">
        <v>43045</v>
      </c>
      <c r="B556" s="96" t="s">
        <v>7</v>
      </c>
      <c r="C556" s="96">
        <v>165</v>
      </c>
      <c r="D556" s="59">
        <v>43.95</v>
      </c>
      <c r="E556" s="59">
        <v>7251.7500000000009</v>
      </c>
      <c r="F556" s="96">
        <f>VLOOKUP(RevenueTableAnswer[[#This Row],[Units Sold]],DiscountTableAnswer[],2)</f>
        <v>0.5</v>
      </c>
      <c r="G556" s="96">
        <f>ROUND((1-RevenueTableAnswer[[#This Row],[Discount on Total Revenue]])*RevenueTableAnswer[[#This Row],[Total Revenue]],2)</f>
        <v>3625.88</v>
      </c>
    </row>
    <row r="557" spans="1:7" x14ac:dyDescent="0.3">
      <c r="A557" s="101">
        <v>43044</v>
      </c>
      <c r="B557" s="96" t="s">
        <v>13</v>
      </c>
      <c r="C557" s="96">
        <v>89</v>
      </c>
      <c r="D557" s="59">
        <v>14.95</v>
      </c>
      <c r="E557" s="59">
        <v>1330.55</v>
      </c>
      <c r="F557" s="96">
        <f>VLOOKUP(RevenueTableAnswer[[#This Row],[Units Sold]],DiscountTableAnswer[],2)</f>
        <v>0.375</v>
      </c>
      <c r="G557" s="96">
        <f>ROUND((1-RevenueTableAnswer[[#This Row],[Discount on Total Revenue]])*RevenueTableAnswer[[#This Row],[Total Revenue]],2)</f>
        <v>831.59</v>
      </c>
    </row>
    <row r="558" spans="1:7" x14ac:dyDescent="0.3">
      <c r="A558" s="101">
        <v>43041</v>
      </c>
      <c r="B558" s="96" t="s">
        <v>5</v>
      </c>
      <c r="C558" s="96">
        <v>95</v>
      </c>
      <c r="D558" s="59">
        <v>22.95</v>
      </c>
      <c r="E558" s="59">
        <v>2180.25</v>
      </c>
      <c r="F558" s="96">
        <f>VLOOKUP(RevenueTableAnswer[[#This Row],[Units Sold]],DiscountTableAnswer[],2)</f>
        <v>0.375</v>
      </c>
      <c r="G558" s="96">
        <f>ROUND((1-RevenueTableAnswer[[#This Row],[Discount on Total Revenue]])*RevenueTableAnswer[[#This Row],[Total Revenue]],2)</f>
        <v>1362.66</v>
      </c>
    </row>
    <row r="559" spans="1:7" x14ac:dyDescent="0.3">
      <c r="A559" s="101">
        <v>43045</v>
      </c>
      <c r="B559" s="96" t="s">
        <v>13</v>
      </c>
      <c r="C559" s="96">
        <v>142</v>
      </c>
      <c r="D559" s="59">
        <v>14.95</v>
      </c>
      <c r="E559" s="59">
        <v>2122.9</v>
      </c>
      <c r="F559" s="96">
        <f>VLOOKUP(RevenueTableAnswer[[#This Row],[Units Sold]],DiscountTableAnswer[],2)</f>
        <v>0.4375</v>
      </c>
      <c r="G559" s="96">
        <f>ROUND((1-RevenueTableAnswer[[#This Row],[Discount on Total Revenue]])*RevenueTableAnswer[[#This Row],[Total Revenue]],2)</f>
        <v>1194.1300000000001</v>
      </c>
    </row>
    <row r="560" spans="1:7" x14ac:dyDescent="0.3">
      <c r="A560" s="101">
        <v>43045</v>
      </c>
      <c r="B560" s="96" t="s">
        <v>8</v>
      </c>
      <c r="C560" s="96">
        <v>60</v>
      </c>
      <c r="D560" s="59">
        <v>21.95</v>
      </c>
      <c r="E560" s="59">
        <v>1317</v>
      </c>
      <c r="F560" s="96">
        <f>VLOOKUP(RevenueTableAnswer[[#This Row],[Units Sold]],DiscountTableAnswer[],2)</f>
        <v>0.375</v>
      </c>
      <c r="G560" s="96">
        <f>ROUND((1-RevenueTableAnswer[[#This Row],[Discount on Total Revenue]])*RevenueTableAnswer[[#This Row],[Total Revenue]],2)</f>
        <v>823.13</v>
      </c>
    </row>
    <row r="561" spans="1:7" x14ac:dyDescent="0.3">
      <c r="A561" s="101">
        <v>43042</v>
      </c>
      <c r="B561" s="96" t="s">
        <v>8</v>
      </c>
      <c r="C561" s="96">
        <v>60</v>
      </c>
      <c r="D561" s="59">
        <v>21.95</v>
      </c>
      <c r="E561" s="59">
        <v>1317</v>
      </c>
      <c r="F561" s="96">
        <f>VLOOKUP(RevenueTableAnswer[[#This Row],[Units Sold]],DiscountTableAnswer[],2)</f>
        <v>0.375</v>
      </c>
      <c r="G561" s="96">
        <f>ROUND((1-RevenueTableAnswer[[#This Row],[Discount on Total Revenue]])*RevenueTableAnswer[[#This Row],[Total Revenue]],2)</f>
        <v>823.13</v>
      </c>
    </row>
    <row r="562" spans="1:7" x14ac:dyDescent="0.3">
      <c r="A562" s="101">
        <v>43042</v>
      </c>
      <c r="B562" s="96" t="s">
        <v>13</v>
      </c>
      <c r="C562" s="96">
        <v>108</v>
      </c>
      <c r="D562" s="59">
        <v>14.95</v>
      </c>
      <c r="E562" s="59">
        <v>1614.6</v>
      </c>
      <c r="F562" s="96">
        <f>VLOOKUP(RevenueTableAnswer[[#This Row],[Units Sold]],DiscountTableAnswer[],2)</f>
        <v>0.4375</v>
      </c>
      <c r="G562" s="96">
        <f>ROUND((1-RevenueTableAnswer[[#This Row],[Discount on Total Revenue]])*RevenueTableAnswer[[#This Row],[Total Revenue]],2)</f>
        <v>908.21</v>
      </c>
    </row>
    <row r="563" spans="1:7" x14ac:dyDescent="0.3">
      <c r="A563" s="101">
        <v>43041</v>
      </c>
      <c r="B563" s="96" t="s">
        <v>7</v>
      </c>
      <c r="C563" s="96">
        <v>61</v>
      </c>
      <c r="D563" s="59">
        <v>43.95</v>
      </c>
      <c r="E563" s="59">
        <v>2680.9500000000003</v>
      </c>
      <c r="F563" s="96">
        <f>VLOOKUP(RevenueTableAnswer[[#This Row],[Units Sold]],DiscountTableAnswer[],2)</f>
        <v>0.375</v>
      </c>
      <c r="G563" s="96">
        <f>ROUND((1-RevenueTableAnswer[[#This Row],[Discount on Total Revenue]])*RevenueTableAnswer[[#This Row],[Total Revenue]],2)</f>
        <v>1675.59</v>
      </c>
    </row>
    <row r="564" spans="1:7" x14ac:dyDescent="0.3">
      <c r="A564" s="101">
        <v>43043</v>
      </c>
      <c r="B564" s="96" t="s">
        <v>5</v>
      </c>
      <c r="C564" s="96">
        <v>132</v>
      </c>
      <c r="D564" s="59">
        <v>22.95</v>
      </c>
      <c r="E564" s="59">
        <v>3029.4</v>
      </c>
      <c r="F564" s="96">
        <f>VLOOKUP(RevenueTableAnswer[[#This Row],[Units Sold]],DiscountTableAnswer[],2)</f>
        <v>0.4375</v>
      </c>
      <c r="G564" s="96">
        <f>ROUND((1-RevenueTableAnswer[[#This Row],[Discount on Total Revenue]])*RevenueTableAnswer[[#This Row],[Total Revenue]],2)</f>
        <v>1704.04</v>
      </c>
    </row>
    <row r="565" spans="1:7" x14ac:dyDescent="0.3">
      <c r="A565" s="101">
        <v>43045</v>
      </c>
      <c r="B565" s="96" t="s">
        <v>7</v>
      </c>
      <c r="C565" s="96">
        <v>136</v>
      </c>
      <c r="D565" s="59">
        <v>43.95</v>
      </c>
      <c r="E565" s="59">
        <v>5977.2000000000007</v>
      </c>
      <c r="F565" s="96">
        <f>VLOOKUP(RevenueTableAnswer[[#This Row],[Units Sold]],DiscountTableAnswer[],2)</f>
        <v>0.4375</v>
      </c>
      <c r="G565" s="96">
        <f>ROUND((1-RevenueTableAnswer[[#This Row],[Discount on Total Revenue]])*RevenueTableAnswer[[#This Row],[Total Revenue]],2)</f>
        <v>3362.18</v>
      </c>
    </row>
    <row r="566" spans="1:7" x14ac:dyDescent="0.3">
      <c r="A566" s="101">
        <v>43043</v>
      </c>
      <c r="B566" s="96" t="s">
        <v>8</v>
      </c>
      <c r="C566" s="96">
        <v>75</v>
      </c>
      <c r="D566" s="59">
        <v>21.95</v>
      </c>
      <c r="E566" s="59">
        <v>1646.25</v>
      </c>
      <c r="F566" s="96">
        <f>VLOOKUP(RevenueTableAnswer[[#This Row],[Units Sold]],DiscountTableAnswer[],2)</f>
        <v>0.375</v>
      </c>
      <c r="G566" s="96">
        <f>ROUND((1-RevenueTableAnswer[[#This Row],[Discount on Total Revenue]])*RevenueTableAnswer[[#This Row],[Total Revenue]],2)</f>
        <v>1028.9100000000001</v>
      </c>
    </row>
    <row r="567" spans="1:7" x14ac:dyDescent="0.3">
      <c r="A567" s="101">
        <v>43043</v>
      </c>
      <c r="B567" s="96" t="s">
        <v>7</v>
      </c>
      <c r="C567" s="96">
        <v>14</v>
      </c>
      <c r="D567" s="59">
        <v>43.95</v>
      </c>
      <c r="E567" s="59">
        <v>615.30000000000007</v>
      </c>
      <c r="F567" s="96">
        <f>VLOOKUP(RevenueTableAnswer[[#This Row],[Units Sold]],DiscountTableAnswer[],2)</f>
        <v>0.25</v>
      </c>
      <c r="G567" s="96">
        <f>ROUND((1-RevenueTableAnswer[[#This Row],[Discount on Total Revenue]])*RevenueTableAnswer[[#This Row],[Total Revenue]],2)</f>
        <v>461.48</v>
      </c>
    </row>
    <row r="568" spans="1:7" x14ac:dyDescent="0.3">
      <c r="A568" s="101">
        <v>43040</v>
      </c>
      <c r="B568" s="96" t="s">
        <v>8</v>
      </c>
      <c r="C568" s="96">
        <v>19</v>
      </c>
      <c r="D568" s="59">
        <v>21.95</v>
      </c>
      <c r="E568" s="59">
        <v>417.05</v>
      </c>
      <c r="F568" s="96">
        <f>VLOOKUP(RevenueTableAnswer[[#This Row],[Units Sold]],DiscountTableAnswer[],2)</f>
        <v>0.25</v>
      </c>
      <c r="G568" s="96">
        <f>ROUND((1-RevenueTableAnswer[[#This Row],[Discount on Total Revenue]])*RevenueTableAnswer[[#This Row],[Total Revenue]],2)</f>
        <v>312.79000000000002</v>
      </c>
    </row>
    <row r="569" spans="1:7" x14ac:dyDescent="0.3">
      <c r="A569" s="101">
        <v>43047</v>
      </c>
      <c r="B569" s="96" t="s">
        <v>13</v>
      </c>
      <c r="C569" s="96">
        <v>40</v>
      </c>
      <c r="D569" s="59">
        <v>14.95</v>
      </c>
      <c r="E569" s="59">
        <v>598</v>
      </c>
      <c r="F569" s="96">
        <f>VLOOKUP(RevenueTableAnswer[[#This Row],[Units Sold]],DiscountTableAnswer[],2)</f>
        <v>0.25</v>
      </c>
      <c r="G569" s="96">
        <f>ROUND((1-RevenueTableAnswer[[#This Row],[Discount on Total Revenue]])*RevenueTableAnswer[[#This Row],[Total Revenue]],2)</f>
        <v>448.5</v>
      </c>
    </row>
    <row r="570" spans="1:7" x14ac:dyDescent="0.3">
      <c r="A570" s="101">
        <v>43045</v>
      </c>
      <c r="B570" s="96" t="s">
        <v>13</v>
      </c>
      <c r="C570" s="96">
        <v>54</v>
      </c>
      <c r="D570" s="59">
        <v>14.95</v>
      </c>
      <c r="E570" s="59">
        <v>807.3</v>
      </c>
      <c r="F570" s="96">
        <f>VLOOKUP(RevenueTableAnswer[[#This Row],[Units Sold]],DiscountTableAnswer[],2)</f>
        <v>0.375</v>
      </c>
      <c r="G570" s="96">
        <f>ROUND((1-RevenueTableAnswer[[#This Row],[Discount on Total Revenue]])*RevenueTableAnswer[[#This Row],[Total Revenue]],2)</f>
        <v>504.56</v>
      </c>
    </row>
    <row r="571" spans="1:7" x14ac:dyDescent="0.3">
      <c r="A571" s="101">
        <v>43041</v>
      </c>
      <c r="B571" s="96" t="s">
        <v>13</v>
      </c>
      <c r="C571" s="96">
        <v>11</v>
      </c>
      <c r="D571" s="59">
        <v>14.95</v>
      </c>
      <c r="E571" s="59">
        <v>164.45</v>
      </c>
      <c r="F571" s="96">
        <f>VLOOKUP(RevenueTableAnswer[[#This Row],[Units Sold]],DiscountTableAnswer[],2)</f>
        <v>0</v>
      </c>
      <c r="G571" s="96">
        <f>ROUND((1-RevenueTableAnswer[[#This Row],[Discount on Total Revenue]])*RevenueTableAnswer[[#This Row],[Total Revenue]],2)</f>
        <v>164.45</v>
      </c>
    </row>
    <row r="572" spans="1:7" x14ac:dyDescent="0.3">
      <c r="A572" s="101">
        <v>43044</v>
      </c>
      <c r="B572" s="96" t="s">
        <v>5</v>
      </c>
      <c r="C572" s="96">
        <v>49</v>
      </c>
      <c r="D572" s="59">
        <v>22.95</v>
      </c>
      <c r="E572" s="59">
        <v>1124.55</v>
      </c>
      <c r="F572" s="96">
        <f>VLOOKUP(RevenueTableAnswer[[#This Row],[Units Sold]],DiscountTableAnswer[],2)</f>
        <v>0.375</v>
      </c>
      <c r="G572" s="96">
        <f>ROUND((1-RevenueTableAnswer[[#This Row],[Discount on Total Revenue]])*RevenueTableAnswer[[#This Row],[Total Revenue]],2)</f>
        <v>702.84</v>
      </c>
    </row>
    <row r="573" spans="1:7" x14ac:dyDescent="0.3">
      <c r="A573" s="101">
        <v>43046</v>
      </c>
      <c r="B573" s="96" t="s">
        <v>8</v>
      </c>
      <c r="C573" s="96">
        <v>146</v>
      </c>
      <c r="D573" s="59">
        <v>21.95</v>
      </c>
      <c r="E573" s="59">
        <v>3204.7</v>
      </c>
      <c r="F573" s="96">
        <f>VLOOKUP(RevenueTableAnswer[[#This Row],[Units Sold]],DiscountTableAnswer[],2)</f>
        <v>0.5</v>
      </c>
      <c r="G573" s="96">
        <f>ROUND((1-RevenueTableAnswer[[#This Row],[Discount on Total Revenue]])*RevenueTableAnswer[[#This Row],[Total Revenue]],2)</f>
        <v>1602.35</v>
      </c>
    </row>
    <row r="574" spans="1:7" x14ac:dyDescent="0.3">
      <c r="A574" s="101">
        <v>43045</v>
      </c>
      <c r="B574" s="96" t="s">
        <v>13</v>
      </c>
      <c r="C574" s="96">
        <v>162</v>
      </c>
      <c r="D574" s="59">
        <v>14.95</v>
      </c>
      <c r="E574" s="59">
        <v>2421.9</v>
      </c>
      <c r="F574" s="96">
        <f>VLOOKUP(RevenueTableAnswer[[#This Row],[Units Sold]],DiscountTableAnswer[],2)</f>
        <v>0.5</v>
      </c>
      <c r="G574" s="96">
        <f>ROUND((1-RevenueTableAnswer[[#This Row],[Discount on Total Revenue]])*RevenueTableAnswer[[#This Row],[Total Revenue]],2)</f>
        <v>1210.95</v>
      </c>
    </row>
    <row r="575" spans="1:7" x14ac:dyDescent="0.3">
      <c r="A575" s="101">
        <v>43040</v>
      </c>
      <c r="B575" s="96" t="s">
        <v>13</v>
      </c>
      <c r="C575" s="96">
        <v>179</v>
      </c>
      <c r="D575" s="59">
        <v>14.95</v>
      </c>
      <c r="E575" s="59">
        <v>2676.0499999999997</v>
      </c>
      <c r="F575" s="96">
        <f>VLOOKUP(RevenueTableAnswer[[#This Row],[Units Sold]],DiscountTableAnswer[],2)</f>
        <v>0.55000000000000004</v>
      </c>
      <c r="G575" s="96">
        <f>ROUND((1-RevenueTableAnswer[[#This Row],[Discount on Total Revenue]])*RevenueTableAnswer[[#This Row],[Total Revenue]],2)</f>
        <v>1204.22</v>
      </c>
    </row>
    <row r="576" spans="1:7" x14ac:dyDescent="0.3">
      <c r="A576" s="101">
        <v>43047</v>
      </c>
      <c r="B576" s="96" t="s">
        <v>8</v>
      </c>
      <c r="C576" s="96">
        <v>88</v>
      </c>
      <c r="D576" s="59">
        <v>21.95</v>
      </c>
      <c r="E576" s="59">
        <v>1931.6</v>
      </c>
      <c r="F576" s="96">
        <f>VLOOKUP(RevenueTableAnswer[[#This Row],[Units Sold]],DiscountTableAnswer[],2)</f>
        <v>0.375</v>
      </c>
      <c r="G576" s="96">
        <f>ROUND((1-RevenueTableAnswer[[#This Row],[Discount on Total Revenue]])*RevenueTableAnswer[[#This Row],[Total Revenue]],2)</f>
        <v>1207.25</v>
      </c>
    </row>
    <row r="577" spans="1:7" x14ac:dyDescent="0.3">
      <c r="A577" s="101">
        <v>43040</v>
      </c>
      <c r="B577" s="96" t="s">
        <v>8</v>
      </c>
      <c r="C577" s="96">
        <v>104</v>
      </c>
      <c r="D577" s="59">
        <v>21.95</v>
      </c>
      <c r="E577" s="59">
        <v>2282.7999999999997</v>
      </c>
      <c r="F577" s="96">
        <f>VLOOKUP(RevenueTableAnswer[[#This Row],[Units Sold]],DiscountTableAnswer[],2)</f>
        <v>0.4375</v>
      </c>
      <c r="G577" s="96">
        <f>ROUND((1-RevenueTableAnswer[[#This Row],[Discount on Total Revenue]])*RevenueTableAnswer[[#This Row],[Total Revenue]],2)</f>
        <v>1284.08</v>
      </c>
    </row>
    <row r="578" spans="1:7" x14ac:dyDescent="0.3">
      <c r="A578" s="101">
        <v>43043</v>
      </c>
      <c r="B578" s="96" t="s">
        <v>13</v>
      </c>
      <c r="C578" s="96">
        <v>56</v>
      </c>
      <c r="D578" s="59">
        <v>14.95</v>
      </c>
      <c r="E578" s="59">
        <v>837.19999999999993</v>
      </c>
      <c r="F578" s="96">
        <f>VLOOKUP(RevenueTableAnswer[[#This Row],[Units Sold]],DiscountTableAnswer[],2)</f>
        <v>0.375</v>
      </c>
      <c r="G578" s="96">
        <f>ROUND((1-RevenueTableAnswer[[#This Row],[Discount on Total Revenue]])*RevenueTableAnswer[[#This Row],[Total Revenue]],2)</f>
        <v>523.25</v>
      </c>
    </row>
    <row r="579" spans="1:7" x14ac:dyDescent="0.3">
      <c r="A579" s="101">
        <v>43043</v>
      </c>
      <c r="B579" s="96" t="s">
        <v>8</v>
      </c>
      <c r="C579" s="96">
        <v>179</v>
      </c>
      <c r="D579" s="59">
        <v>21.95</v>
      </c>
      <c r="E579" s="59">
        <v>3929.0499999999997</v>
      </c>
      <c r="F579" s="96">
        <f>VLOOKUP(RevenueTableAnswer[[#This Row],[Units Sold]],DiscountTableAnswer[],2)</f>
        <v>0.55000000000000004</v>
      </c>
      <c r="G579" s="96">
        <f>ROUND((1-RevenueTableAnswer[[#This Row],[Discount on Total Revenue]])*RevenueTableAnswer[[#This Row],[Total Revenue]],2)</f>
        <v>1768.07</v>
      </c>
    </row>
    <row r="580" spans="1:7" x14ac:dyDescent="0.3">
      <c r="A580" s="101">
        <v>43045</v>
      </c>
      <c r="B580" s="96" t="s">
        <v>13</v>
      </c>
      <c r="C580" s="96">
        <v>177</v>
      </c>
      <c r="D580" s="59">
        <v>14.95</v>
      </c>
      <c r="E580" s="59">
        <v>2646.15</v>
      </c>
      <c r="F580" s="96">
        <f>VLOOKUP(RevenueTableAnswer[[#This Row],[Units Sold]],DiscountTableAnswer[],2)</f>
        <v>0.55000000000000004</v>
      </c>
      <c r="G580" s="96">
        <f>ROUND((1-RevenueTableAnswer[[#This Row],[Discount on Total Revenue]])*RevenueTableAnswer[[#This Row],[Total Revenue]],2)</f>
        <v>1190.77</v>
      </c>
    </row>
    <row r="581" spans="1:7" x14ac:dyDescent="0.3">
      <c r="A581" s="101">
        <v>43046</v>
      </c>
      <c r="B581" s="96" t="s">
        <v>8</v>
      </c>
      <c r="C581" s="96">
        <v>64</v>
      </c>
      <c r="D581" s="59">
        <v>21.95</v>
      </c>
      <c r="E581" s="59">
        <v>1404.8</v>
      </c>
      <c r="F581" s="96">
        <f>VLOOKUP(RevenueTableAnswer[[#This Row],[Units Sold]],DiscountTableAnswer[],2)</f>
        <v>0.375</v>
      </c>
      <c r="G581" s="96">
        <f>ROUND((1-RevenueTableAnswer[[#This Row],[Discount on Total Revenue]])*RevenueTableAnswer[[#This Row],[Total Revenue]],2)</f>
        <v>878</v>
      </c>
    </row>
    <row r="582" spans="1:7" x14ac:dyDescent="0.3">
      <c r="A582" s="101">
        <v>43040</v>
      </c>
      <c r="B582" s="96" t="s">
        <v>7</v>
      </c>
      <c r="C582" s="96">
        <v>172</v>
      </c>
      <c r="D582" s="59">
        <v>43.95</v>
      </c>
      <c r="E582" s="59">
        <v>7559.4000000000005</v>
      </c>
      <c r="F582" s="96">
        <f>VLOOKUP(RevenueTableAnswer[[#This Row],[Units Sold]],DiscountTableAnswer[],2)</f>
        <v>0.55000000000000004</v>
      </c>
      <c r="G582" s="96">
        <f>ROUND((1-RevenueTableAnswer[[#This Row],[Discount on Total Revenue]])*RevenueTableAnswer[[#This Row],[Total Revenue]],2)</f>
        <v>3401.73</v>
      </c>
    </row>
    <row r="583" spans="1:7" x14ac:dyDescent="0.3">
      <c r="A583" s="101">
        <v>43044</v>
      </c>
      <c r="B583" s="96" t="s">
        <v>13</v>
      </c>
      <c r="C583" s="96">
        <v>98</v>
      </c>
      <c r="D583" s="59">
        <v>14.95</v>
      </c>
      <c r="E583" s="59">
        <v>1465.1</v>
      </c>
      <c r="F583" s="96">
        <f>VLOOKUP(RevenueTableAnswer[[#This Row],[Units Sold]],DiscountTableAnswer[],2)</f>
        <v>0.4375</v>
      </c>
      <c r="G583" s="96">
        <f>ROUND((1-RevenueTableAnswer[[#This Row],[Discount on Total Revenue]])*RevenueTableAnswer[[#This Row],[Total Revenue]],2)</f>
        <v>824.12</v>
      </c>
    </row>
    <row r="584" spans="1:7" x14ac:dyDescent="0.3">
      <c r="A584" s="101">
        <v>43046</v>
      </c>
      <c r="B584" s="96" t="s">
        <v>8</v>
      </c>
      <c r="C584" s="96">
        <v>131</v>
      </c>
      <c r="D584" s="59">
        <v>21.95</v>
      </c>
      <c r="E584" s="59">
        <v>2875.45</v>
      </c>
      <c r="F584" s="96">
        <f>VLOOKUP(RevenueTableAnswer[[#This Row],[Units Sold]],DiscountTableAnswer[],2)</f>
        <v>0.4375</v>
      </c>
      <c r="G584" s="96">
        <f>ROUND((1-RevenueTableAnswer[[#This Row],[Discount on Total Revenue]])*RevenueTableAnswer[[#This Row],[Total Revenue]],2)</f>
        <v>1617.44</v>
      </c>
    </row>
    <row r="585" spans="1:7" x14ac:dyDescent="0.3">
      <c r="A585" s="101">
        <v>43043</v>
      </c>
      <c r="B585" s="96" t="s">
        <v>8</v>
      </c>
      <c r="C585" s="96">
        <v>73</v>
      </c>
      <c r="D585" s="59">
        <v>21.95</v>
      </c>
      <c r="E585" s="59">
        <v>1602.35</v>
      </c>
      <c r="F585" s="96">
        <f>VLOOKUP(RevenueTableAnswer[[#This Row],[Units Sold]],DiscountTableAnswer[],2)</f>
        <v>0.375</v>
      </c>
      <c r="G585" s="96">
        <f>ROUND((1-RevenueTableAnswer[[#This Row],[Discount on Total Revenue]])*RevenueTableAnswer[[#This Row],[Total Revenue]],2)</f>
        <v>1001.47</v>
      </c>
    </row>
    <row r="586" spans="1:7" x14ac:dyDescent="0.3">
      <c r="A586" s="101">
        <v>43044</v>
      </c>
      <c r="B586" s="96" t="s">
        <v>7</v>
      </c>
      <c r="C586" s="96">
        <v>168</v>
      </c>
      <c r="D586" s="59">
        <v>43.95</v>
      </c>
      <c r="E586" s="59">
        <v>7383.6</v>
      </c>
      <c r="F586" s="96">
        <f>VLOOKUP(RevenueTableAnswer[[#This Row],[Units Sold]],DiscountTableAnswer[],2)</f>
        <v>0.55000000000000004</v>
      </c>
      <c r="G586" s="96">
        <f>ROUND((1-RevenueTableAnswer[[#This Row],[Discount on Total Revenue]])*RevenueTableAnswer[[#This Row],[Total Revenue]],2)</f>
        <v>3322.62</v>
      </c>
    </row>
    <row r="587" spans="1:7" x14ac:dyDescent="0.3">
      <c r="A587" s="101">
        <v>43044</v>
      </c>
      <c r="B587" s="96" t="s">
        <v>13</v>
      </c>
      <c r="C587" s="96">
        <v>44</v>
      </c>
      <c r="D587" s="59">
        <v>14.95</v>
      </c>
      <c r="E587" s="59">
        <v>657.8</v>
      </c>
      <c r="F587" s="96">
        <f>VLOOKUP(RevenueTableAnswer[[#This Row],[Units Sold]],DiscountTableAnswer[],2)</f>
        <v>0.25</v>
      </c>
      <c r="G587" s="96">
        <f>ROUND((1-RevenueTableAnswer[[#This Row],[Discount on Total Revenue]])*RevenueTableAnswer[[#This Row],[Total Revenue]],2)</f>
        <v>493.35</v>
      </c>
    </row>
    <row r="588" spans="1:7" x14ac:dyDescent="0.3">
      <c r="A588" s="101">
        <v>43045</v>
      </c>
      <c r="B588" s="96" t="s">
        <v>13</v>
      </c>
      <c r="C588" s="96">
        <v>163</v>
      </c>
      <c r="D588" s="59">
        <v>14.95</v>
      </c>
      <c r="E588" s="59">
        <v>2436.85</v>
      </c>
      <c r="F588" s="96">
        <f>VLOOKUP(RevenueTableAnswer[[#This Row],[Units Sold]],DiscountTableAnswer[],2)</f>
        <v>0.5</v>
      </c>
      <c r="G588" s="96">
        <f>ROUND((1-RevenueTableAnswer[[#This Row],[Discount on Total Revenue]])*RevenueTableAnswer[[#This Row],[Total Revenue]],2)</f>
        <v>1218.43</v>
      </c>
    </row>
    <row r="589" spans="1:7" x14ac:dyDescent="0.3">
      <c r="A589" s="101">
        <v>43043</v>
      </c>
      <c r="B589" s="96" t="s">
        <v>13</v>
      </c>
      <c r="C589" s="96">
        <v>87</v>
      </c>
      <c r="D589" s="59">
        <v>14.95</v>
      </c>
      <c r="E589" s="59">
        <v>1300.6499999999999</v>
      </c>
      <c r="F589" s="96">
        <f>VLOOKUP(RevenueTableAnswer[[#This Row],[Units Sold]],DiscountTableAnswer[],2)</f>
        <v>0.375</v>
      </c>
      <c r="G589" s="96">
        <f>ROUND((1-RevenueTableAnswer[[#This Row],[Discount on Total Revenue]])*RevenueTableAnswer[[#This Row],[Total Revenue]],2)</f>
        <v>812.91</v>
      </c>
    </row>
    <row r="590" spans="1:7" x14ac:dyDescent="0.3">
      <c r="A590" s="101">
        <v>43043</v>
      </c>
      <c r="B590" s="96" t="s">
        <v>8</v>
      </c>
      <c r="C590" s="96">
        <v>47</v>
      </c>
      <c r="D590" s="59">
        <v>21.95</v>
      </c>
      <c r="E590" s="59">
        <v>1031.6499999999999</v>
      </c>
      <c r="F590" s="96">
        <f>VLOOKUP(RevenueTableAnswer[[#This Row],[Units Sold]],DiscountTableAnswer[],2)</f>
        <v>0.25</v>
      </c>
      <c r="G590" s="96">
        <f>ROUND((1-RevenueTableAnswer[[#This Row],[Discount on Total Revenue]])*RevenueTableAnswer[[#This Row],[Total Revenue]],2)</f>
        <v>773.74</v>
      </c>
    </row>
    <row r="591" spans="1:7" x14ac:dyDescent="0.3">
      <c r="A591" s="101">
        <v>43046</v>
      </c>
      <c r="B591" s="96" t="s">
        <v>13</v>
      </c>
      <c r="C591" s="96">
        <v>131</v>
      </c>
      <c r="D591" s="59">
        <v>14.95</v>
      </c>
      <c r="E591" s="59">
        <v>1958.4499999999998</v>
      </c>
      <c r="F591" s="96">
        <f>VLOOKUP(RevenueTableAnswer[[#This Row],[Units Sold]],DiscountTableAnswer[],2)</f>
        <v>0.4375</v>
      </c>
      <c r="G591" s="96">
        <f>ROUND((1-RevenueTableAnswer[[#This Row],[Discount on Total Revenue]])*RevenueTableAnswer[[#This Row],[Total Revenue]],2)</f>
        <v>1101.6300000000001</v>
      </c>
    </row>
    <row r="592" spans="1:7" x14ac:dyDescent="0.3">
      <c r="A592" s="101">
        <v>43045</v>
      </c>
      <c r="B592" s="96" t="s">
        <v>13</v>
      </c>
      <c r="C592" s="96">
        <v>146</v>
      </c>
      <c r="D592" s="59">
        <v>14.95</v>
      </c>
      <c r="E592" s="59">
        <v>2182.6999999999998</v>
      </c>
      <c r="F592" s="96">
        <f>VLOOKUP(RevenueTableAnswer[[#This Row],[Units Sold]],DiscountTableAnswer[],2)</f>
        <v>0.5</v>
      </c>
      <c r="G592" s="96">
        <f>ROUND((1-RevenueTableAnswer[[#This Row],[Discount on Total Revenue]])*RevenueTableAnswer[[#This Row],[Total Revenue]],2)</f>
        <v>1091.3499999999999</v>
      </c>
    </row>
    <row r="593" spans="1:7" x14ac:dyDescent="0.3">
      <c r="A593" s="101">
        <v>43042</v>
      </c>
      <c r="B593" s="96" t="s">
        <v>7</v>
      </c>
      <c r="C593" s="96">
        <v>82</v>
      </c>
      <c r="D593" s="59">
        <v>43.95</v>
      </c>
      <c r="E593" s="59">
        <v>3603.9</v>
      </c>
      <c r="F593" s="96">
        <f>VLOOKUP(RevenueTableAnswer[[#This Row],[Units Sold]],DiscountTableAnswer[],2)</f>
        <v>0.375</v>
      </c>
      <c r="G593" s="96">
        <f>ROUND((1-RevenueTableAnswer[[#This Row],[Discount on Total Revenue]])*RevenueTableAnswer[[#This Row],[Total Revenue]],2)</f>
        <v>2252.44</v>
      </c>
    </row>
    <row r="594" spans="1:7" x14ac:dyDescent="0.3">
      <c r="A594" s="101">
        <v>43044</v>
      </c>
      <c r="B594" s="96" t="s">
        <v>8</v>
      </c>
      <c r="C594" s="96">
        <v>129</v>
      </c>
      <c r="D594" s="59">
        <v>21.95</v>
      </c>
      <c r="E594" s="59">
        <v>2831.5499999999997</v>
      </c>
      <c r="F594" s="96">
        <f>VLOOKUP(RevenueTableAnswer[[#This Row],[Units Sold]],DiscountTableAnswer[],2)</f>
        <v>0.4375</v>
      </c>
      <c r="G594" s="96">
        <f>ROUND((1-RevenueTableAnswer[[#This Row],[Discount on Total Revenue]])*RevenueTableAnswer[[#This Row],[Total Revenue]],2)</f>
        <v>1592.75</v>
      </c>
    </row>
    <row r="595" spans="1:7" x14ac:dyDescent="0.3">
      <c r="A595" s="101">
        <v>43045</v>
      </c>
      <c r="B595" s="96" t="s">
        <v>5</v>
      </c>
      <c r="C595" s="96">
        <v>171</v>
      </c>
      <c r="D595" s="59">
        <v>22.95</v>
      </c>
      <c r="E595" s="59">
        <v>3924.45</v>
      </c>
      <c r="F595" s="96">
        <f>VLOOKUP(RevenueTableAnswer[[#This Row],[Units Sold]],DiscountTableAnswer[],2)</f>
        <v>0.55000000000000004</v>
      </c>
      <c r="G595" s="96">
        <f>ROUND((1-RevenueTableAnswer[[#This Row],[Discount on Total Revenue]])*RevenueTableAnswer[[#This Row],[Total Revenue]],2)</f>
        <v>1766</v>
      </c>
    </row>
    <row r="596" spans="1:7" x14ac:dyDescent="0.3">
      <c r="A596" s="101">
        <v>43042</v>
      </c>
      <c r="B596" s="96" t="s">
        <v>13</v>
      </c>
      <c r="C596" s="96">
        <v>18</v>
      </c>
      <c r="D596" s="59">
        <v>14.95</v>
      </c>
      <c r="E596" s="59">
        <v>269.09999999999997</v>
      </c>
      <c r="F596" s="96">
        <f>VLOOKUP(RevenueTableAnswer[[#This Row],[Units Sold]],DiscountTableAnswer[],2)</f>
        <v>0.25</v>
      </c>
      <c r="G596" s="96">
        <f>ROUND((1-RevenueTableAnswer[[#This Row],[Discount on Total Revenue]])*RevenueTableAnswer[[#This Row],[Total Revenue]],2)</f>
        <v>201.83</v>
      </c>
    </row>
    <row r="597" spans="1:7" x14ac:dyDescent="0.3">
      <c r="A597" s="101">
        <v>43043</v>
      </c>
      <c r="B597" s="96" t="s">
        <v>13</v>
      </c>
      <c r="C597" s="96">
        <v>54</v>
      </c>
      <c r="D597" s="59">
        <v>14.95</v>
      </c>
      <c r="E597" s="59">
        <v>807.3</v>
      </c>
      <c r="F597" s="96">
        <f>VLOOKUP(RevenueTableAnswer[[#This Row],[Units Sold]],DiscountTableAnswer[],2)</f>
        <v>0.375</v>
      </c>
      <c r="G597" s="96">
        <f>ROUND((1-RevenueTableAnswer[[#This Row],[Discount on Total Revenue]])*RevenueTableAnswer[[#This Row],[Total Revenue]],2)</f>
        <v>504.56</v>
      </c>
    </row>
    <row r="598" spans="1:7" x14ac:dyDescent="0.3">
      <c r="A598" s="101">
        <v>43043</v>
      </c>
      <c r="B598" s="96" t="s">
        <v>8</v>
      </c>
      <c r="C598" s="96">
        <v>185</v>
      </c>
      <c r="D598" s="59">
        <v>21.95</v>
      </c>
      <c r="E598" s="59">
        <v>4060.75</v>
      </c>
      <c r="F598" s="96">
        <f>VLOOKUP(RevenueTableAnswer[[#This Row],[Units Sold]],DiscountTableAnswer[],2)</f>
        <v>0.55000000000000004</v>
      </c>
      <c r="G598" s="96">
        <f>ROUND((1-RevenueTableAnswer[[#This Row],[Discount on Total Revenue]])*RevenueTableAnswer[[#This Row],[Total Revenue]],2)</f>
        <v>1827.34</v>
      </c>
    </row>
    <row r="599" spans="1:7" x14ac:dyDescent="0.3">
      <c r="A599" s="101">
        <v>43040</v>
      </c>
      <c r="B599" s="96" t="s">
        <v>5</v>
      </c>
      <c r="C599" s="96">
        <v>85</v>
      </c>
      <c r="D599" s="59">
        <v>22.95</v>
      </c>
      <c r="E599" s="59">
        <v>1950.75</v>
      </c>
      <c r="F599" s="96">
        <f>VLOOKUP(RevenueTableAnswer[[#This Row],[Units Sold]],DiscountTableAnswer[],2)</f>
        <v>0.375</v>
      </c>
      <c r="G599" s="96">
        <f>ROUND((1-RevenueTableAnswer[[#This Row],[Discount on Total Revenue]])*RevenueTableAnswer[[#This Row],[Total Revenue]],2)</f>
        <v>1219.22</v>
      </c>
    </row>
    <row r="600" spans="1:7" x14ac:dyDescent="0.3">
      <c r="A600" s="101">
        <v>43045</v>
      </c>
      <c r="B600" s="96" t="s">
        <v>5</v>
      </c>
      <c r="C600" s="96">
        <v>106</v>
      </c>
      <c r="D600" s="59">
        <v>22.95</v>
      </c>
      <c r="E600" s="59">
        <v>2432.6999999999998</v>
      </c>
      <c r="F600" s="96">
        <f>VLOOKUP(RevenueTableAnswer[[#This Row],[Units Sold]],DiscountTableAnswer[],2)</f>
        <v>0.4375</v>
      </c>
      <c r="G600" s="96">
        <f>ROUND((1-RevenueTableAnswer[[#This Row],[Discount on Total Revenue]])*RevenueTableAnswer[[#This Row],[Total Revenue]],2)</f>
        <v>1368.39</v>
      </c>
    </row>
    <row r="601" spans="1:7" x14ac:dyDescent="0.3">
      <c r="A601" s="101">
        <v>43047</v>
      </c>
      <c r="B601" s="96" t="s">
        <v>7</v>
      </c>
      <c r="C601" s="96">
        <v>136</v>
      </c>
      <c r="D601" s="59">
        <v>43.95</v>
      </c>
      <c r="E601" s="59">
        <v>5977.2000000000007</v>
      </c>
      <c r="F601" s="96">
        <f>VLOOKUP(RevenueTableAnswer[[#This Row],[Units Sold]],DiscountTableAnswer[],2)</f>
        <v>0.4375</v>
      </c>
      <c r="G601" s="96">
        <f>ROUND((1-RevenueTableAnswer[[#This Row],[Discount on Total Revenue]])*RevenueTableAnswer[[#This Row],[Total Revenue]],2)</f>
        <v>3362.18</v>
      </c>
    </row>
    <row r="602" spans="1:7" x14ac:dyDescent="0.3">
      <c r="A602" s="101">
        <v>43043</v>
      </c>
      <c r="B602" s="96" t="s">
        <v>7</v>
      </c>
      <c r="C602" s="96">
        <v>96</v>
      </c>
      <c r="D602" s="59">
        <v>43.95</v>
      </c>
      <c r="E602" s="59">
        <v>4219.2000000000007</v>
      </c>
      <c r="F602" s="96">
        <f>VLOOKUP(RevenueTableAnswer[[#This Row],[Units Sold]],DiscountTableAnswer[],2)</f>
        <v>0.4375</v>
      </c>
      <c r="G602" s="96">
        <f>ROUND((1-RevenueTableAnswer[[#This Row],[Discount on Total Revenue]])*RevenueTableAnswer[[#This Row],[Total Revenue]],2)</f>
        <v>2373.3000000000002</v>
      </c>
    </row>
    <row r="603" spans="1:7" x14ac:dyDescent="0.3">
      <c r="A603" s="101">
        <v>43043</v>
      </c>
      <c r="B603" s="96" t="s">
        <v>5</v>
      </c>
      <c r="C603" s="96">
        <v>45</v>
      </c>
      <c r="D603" s="59">
        <v>22.95</v>
      </c>
      <c r="E603" s="59">
        <v>1032.75</v>
      </c>
      <c r="F603" s="96">
        <f>VLOOKUP(RevenueTableAnswer[[#This Row],[Units Sold]],DiscountTableAnswer[],2)</f>
        <v>0.25</v>
      </c>
      <c r="G603" s="96">
        <f>ROUND((1-RevenueTableAnswer[[#This Row],[Discount on Total Revenue]])*RevenueTableAnswer[[#This Row],[Total Revenue]],2)</f>
        <v>774.56</v>
      </c>
    </row>
    <row r="604" spans="1:7" x14ac:dyDescent="0.3">
      <c r="A604" s="101">
        <v>43044</v>
      </c>
      <c r="B604" s="96" t="s">
        <v>13</v>
      </c>
      <c r="C604" s="96">
        <v>190</v>
      </c>
      <c r="D604" s="59">
        <v>14.95</v>
      </c>
      <c r="E604" s="59">
        <v>2840.5</v>
      </c>
      <c r="F604" s="96">
        <f>VLOOKUP(RevenueTableAnswer[[#This Row],[Units Sold]],DiscountTableAnswer[],2)</f>
        <v>0.55000000000000004</v>
      </c>
      <c r="G604" s="96">
        <f>ROUND((1-RevenueTableAnswer[[#This Row],[Discount on Total Revenue]])*RevenueTableAnswer[[#This Row],[Total Revenue]],2)</f>
        <v>1278.23</v>
      </c>
    </row>
    <row r="605" spans="1:7" x14ac:dyDescent="0.3">
      <c r="A605" s="101">
        <v>43042</v>
      </c>
      <c r="B605" s="96" t="s">
        <v>8</v>
      </c>
      <c r="C605" s="96">
        <v>129</v>
      </c>
      <c r="D605" s="59">
        <v>21.95</v>
      </c>
      <c r="E605" s="59">
        <v>2831.5499999999997</v>
      </c>
      <c r="F605" s="96">
        <f>VLOOKUP(RevenueTableAnswer[[#This Row],[Units Sold]],DiscountTableAnswer[],2)</f>
        <v>0.4375</v>
      </c>
      <c r="G605" s="96">
        <f>ROUND((1-RevenueTableAnswer[[#This Row],[Discount on Total Revenue]])*RevenueTableAnswer[[#This Row],[Total Revenue]],2)</f>
        <v>1592.75</v>
      </c>
    </row>
    <row r="606" spans="1:7" x14ac:dyDescent="0.3">
      <c r="A606" s="101">
        <v>43043</v>
      </c>
      <c r="B606" s="96" t="s">
        <v>5</v>
      </c>
      <c r="C606" s="96">
        <v>140</v>
      </c>
      <c r="D606" s="59">
        <v>22.95</v>
      </c>
      <c r="E606" s="59">
        <v>3213</v>
      </c>
      <c r="F606" s="96">
        <f>VLOOKUP(RevenueTableAnswer[[#This Row],[Units Sold]],DiscountTableAnswer[],2)</f>
        <v>0.4375</v>
      </c>
      <c r="G606" s="96">
        <f>ROUND((1-RevenueTableAnswer[[#This Row],[Discount on Total Revenue]])*RevenueTableAnswer[[#This Row],[Total Revenue]],2)</f>
        <v>1807.31</v>
      </c>
    </row>
    <row r="607" spans="1:7" x14ac:dyDescent="0.3">
      <c r="A607" s="101">
        <v>43047</v>
      </c>
      <c r="B607" s="96" t="s">
        <v>8</v>
      </c>
      <c r="C607" s="96">
        <v>19</v>
      </c>
      <c r="D607" s="59">
        <v>21.95</v>
      </c>
      <c r="E607" s="59">
        <v>417.05</v>
      </c>
      <c r="F607" s="96">
        <f>VLOOKUP(RevenueTableAnswer[[#This Row],[Units Sold]],DiscountTableAnswer[],2)</f>
        <v>0.25</v>
      </c>
      <c r="G607" s="96">
        <f>ROUND((1-RevenueTableAnswer[[#This Row],[Discount on Total Revenue]])*RevenueTableAnswer[[#This Row],[Total Revenue]],2)</f>
        <v>312.79000000000002</v>
      </c>
    </row>
    <row r="608" spans="1:7" x14ac:dyDescent="0.3">
      <c r="A608" s="101">
        <v>43046</v>
      </c>
      <c r="B608" s="96" t="s">
        <v>5</v>
      </c>
      <c r="C608" s="96">
        <v>88</v>
      </c>
      <c r="D608" s="59">
        <v>22.95</v>
      </c>
      <c r="E608" s="59">
        <v>2019.6</v>
      </c>
      <c r="F608" s="96">
        <f>VLOOKUP(RevenueTableAnswer[[#This Row],[Units Sold]],DiscountTableAnswer[],2)</f>
        <v>0.375</v>
      </c>
      <c r="G608" s="96">
        <f>ROUND((1-RevenueTableAnswer[[#This Row],[Discount on Total Revenue]])*RevenueTableAnswer[[#This Row],[Total Revenue]],2)</f>
        <v>1262.25</v>
      </c>
    </row>
    <row r="609" spans="1:7" x14ac:dyDescent="0.3">
      <c r="A609" s="101">
        <v>43040</v>
      </c>
      <c r="B609" s="96" t="s">
        <v>8</v>
      </c>
      <c r="C609" s="96">
        <v>132</v>
      </c>
      <c r="D609" s="59">
        <v>21.95</v>
      </c>
      <c r="E609" s="59">
        <v>2897.4</v>
      </c>
      <c r="F609" s="96">
        <f>VLOOKUP(RevenueTableAnswer[[#This Row],[Units Sold]],DiscountTableAnswer[],2)</f>
        <v>0.4375</v>
      </c>
      <c r="G609" s="96">
        <f>ROUND((1-RevenueTableAnswer[[#This Row],[Discount on Total Revenue]])*RevenueTableAnswer[[#This Row],[Total Revenue]],2)</f>
        <v>1629.79</v>
      </c>
    </row>
    <row r="610" spans="1:7" x14ac:dyDescent="0.3">
      <c r="A610" s="101">
        <v>43040</v>
      </c>
      <c r="B610" s="96" t="s">
        <v>7</v>
      </c>
      <c r="C610" s="96">
        <v>38</v>
      </c>
      <c r="D610" s="59">
        <v>43.95</v>
      </c>
      <c r="E610" s="59">
        <v>1670.1000000000001</v>
      </c>
      <c r="F610" s="96">
        <f>VLOOKUP(RevenueTableAnswer[[#This Row],[Units Sold]],DiscountTableAnswer[],2)</f>
        <v>0.25</v>
      </c>
      <c r="G610" s="96">
        <f>ROUND((1-RevenueTableAnswer[[#This Row],[Discount on Total Revenue]])*RevenueTableAnswer[[#This Row],[Total Revenue]],2)</f>
        <v>1252.58</v>
      </c>
    </row>
    <row r="611" spans="1:7" x14ac:dyDescent="0.3">
      <c r="A611" s="101">
        <v>43046</v>
      </c>
      <c r="B611" s="96" t="s">
        <v>8</v>
      </c>
      <c r="C611" s="96">
        <v>82</v>
      </c>
      <c r="D611" s="59">
        <v>21.95</v>
      </c>
      <c r="E611" s="59">
        <v>1799.8999999999999</v>
      </c>
      <c r="F611" s="96">
        <f>VLOOKUP(RevenueTableAnswer[[#This Row],[Units Sold]],DiscountTableAnswer[],2)</f>
        <v>0.375</v>
      </c>
      <c r="G611" s="96">
        <f>ROUND((1-RevenueTableAnswer[[#This Row],[Discount on Total Revenue]])*RevenueTableAnswer[[#This Row],[Total Revenue]],2)</f>
        <v>1124.94</v>
      </c>
    </row>
    <row r="612" spans="1:7" x14ac:dyDescent="0.3">
      <c r="A612" s="101">
        <v>43047</v>
      </c>
      <c r="B612" s="96" t="s">
        <v>7</v>
      </c>
      <c r="C612" s="96">
        <v>101</v>
      </c>
      <c r="D612" s="59">
        <v>43.95</v>
      </c>
      <c r="E612" s="59">
        <v>4438.9500000000007</v>
      </c>
      <c r="F612" s="96">
        <f>VLOOKUP(RevenueTableAnswer[[#This Row],[Units Sold]],DiscountTableAnswer[],2)</f>
        <v>0.4375</v>
      </c>
      <c r="G612" s="96">
        <f>ROUND((1-RevenueTableAnswer[[#This Row],[Discount on Total Revenue]])*RevenueTableAnswer[[#This Row],[Total Revenue]],2)</f>
        <v>2496.91</v>
      </c>
    </row>
    <row r="613" spans="1:7" x14ac:dyDescent="0.3">
      <c r="A613" s="101">
        <v>43046</v>
      </c>
      <c r="B613" s="96" t="s">
        <v>13</v>
      </c>
      <c r="C613" s="96">
        <v>89</v>
      </c>
      <c r="D613" s="59">
        <v>14.95</v>
      </c>
      <c r="E613" s="59">
        <v>1330.55</v>
      </c>
      <c r="F613" s="96">
        <f>VLOOKUP(RevenueTableAnswer[[#This Row],[Units Sold]],DiscountTableAnswer[],2)</f>
        <v>0.375</v>
      </c>
      <c r="G613" s="96">
        <f>ROUND((1-RevenueTableAnswer[[#This Row],[Discount on Total Revenue]])*RevenueTableAnswer[[#This Row],[Total Revenue]],2)</f>
        <v>831.59</v>
      </c>
    </row>
    <row r="614" spans="1:7" x14ac:dyDescent="0.3">
      <c r="A614" s="101">
        <v>43045</v>
      </c>
      <c r="B614" s="96" t="s">
        <v>13</v>
      </c>
      <c r="C614" s="96">
        <v>59</v>
      </c>
      <c r="D614" s="59">
        <v>14.95</v>
      </c>
      <c r="E614" s="59">
        <v>882.05</v>
      </c>
      <c r="F614" s="96">
        <f>VLOOKUP(RevenueTableAnswer[[#This Row],[Units Sold]],DiscountTableAnswer[],2)</f>
        <v>0.375</v>
      </c>
      <c r="G614" s="96">
        <f>ROUND((1-RevenueTableAnswer[[#This Row],[Discount on Total Revenue]])*RevenueTableAnswer[[#This Row],[Total Revenue]],2)</f>
        <v>551.28</v>
      </c>
    </row>
    <row r="615" spans="1:7" x14ac:dyDescent="0.3">
      <c r="A615" s="101">
        <v>43042</v>
      </c>
      <c r="B615" s="96" t="s">
        <v>8</v>
      </c>
      <c r="C615" s="96">
        <v>135</v>
      </c>
      <c r="D615" s="59">
        <v>21.95</v>
      </c>
      <c r="E615" s="59">
        <v>2963.25</v>
      </c>
      <c r="F615" s="96">
        <f>VLOOKUP(RevenueTableAnswer[[#This Row],[Units Sold]],DiscountTableAnswer[],2)</f>
        <v>0.4375</v>
      </c>
      <c r="G615" s="96">
        <f>ROUND((1-RevenueTableAnswer[[#This Row],[Discount on Total Revenue]])*RevenueTableAnswer[[#This Row],[Total Revenue]],2)</f>
        <v>1666.83</v>
      </c>
    </row>
    <row r="616" spans="1:7" x14ac:dyDescent="0.3">
      <c r="A616" s="101">
        <v>43046</v>
      </c>
      <c r="B616" s="96" t="s">
        <v>7</v>
      </c>
      <c r="C616" s="96">
        <v>151</v>
      </c>
      <c r="D616" s="59">
        <v>43.95</v>
      </c>
      <c r="E616" s="59">
        <v>6636.4500000000007</v>
      </c>
      <c r="F616" s="96">
        <f>VLOOKUP(RevenueTableAnswer[[#This Row],[Units Sold]],DiscountTableAnswer[],2)</f>
        <v>0.5</v>
      </c>
      <c r="G616" s="96">
        <f>ROUND((1-RevenueTableAnswer[[#This Row],[Discount on Total Revenue]])*RevenueTableAnswer[[#This Row],[Total Revenue]],2)</f>
        <v>3318.23</v>
      </c>
    </row>
    <row r="617" spans="1:7" x14ac:dyDescent="0.3">
      <c r="A617" s="101">
        <v>43045</v>
      </c>
      <c r="B617" s="96" t="s">
        <v>7</v>
      </c>
      <c r="C617" s="96">
        <v>143</v>
      </c>
      <c r="D617" s="59">
        <v>43.95</v>
      </c>
      <c r="E617" s="59">
        <v>6284.85</v>
      </c>
      <c r="F617" s="96">
        <f>VLOOKUP(RevenueTableAnswer[[#This Row],[Units Sold]],DiscountTableAnswer[],2)</f>
        <v>0.4375</v>
      </c>
      <c r="G617" s="96">
        <f>ROUND((1-RevenueTableAnswer[[#This Row],[Discount on Total Revenue]])*RevenueTableAnswer[[#This Row],[Total Revenue]],2)</f>
        <v>3535.23</v>
      </c>
    </row>
    <row r="618" spans="1:7" x14ac:dyDescent="0.3">
      <c r="A618" s="101">
        <v>43044</v>
      </c>
      <c r="B618" s="96" t="s">
        <v>13</v>
      </c>
      <c r="C618" s="96">
        <v>50</v>
      </c>
      <c r="D618" s="59">
        <v>14.95</v>
      </c>
      <c r="E618" s="59">
        <v>747.5</v>
      </c>
      <c r="F618" s="96">
        <f>VLOOKUP(RevenueTableAnswer[[#This Row],[Units Sold]],DiscountTableAnswer[],2)</f>
        <v>0.375</v>
      </c>
      <c r="G618" s="96">
        <f>ROUND((1-RevenueTableAnswer[[#This Row],[Discount on Total Revenue]])*RevenueTableAnswer[[#This Row],[Total Revenue]],2)</f>
        <v>467.19</v>
      </c>
    </row>
    <row r="619" spans="1:7" x14ac:dyDescent="0.3">
      <c r="A619" s="101">
        <v>43043</v>
      </c>
      <c r="B619" s="96" t="s">
        <v>7</v>
      </c>
      <c r="C619" s="96">
        <v>135</v>
      </c>
      <c r="D619" s="59">
        <v>43.95</v>
      </c>
      <c r="E619" s="59">
        <v>5933.25</v>
      </c>
      <c r="F619" s="96">
        <f>VLOOKUP(RevenueTableAnswer[[#This Row],[Units Sold]],DiscountTableAnswer[],2)</f>
        <v>0.4375</v>
      </c>
      <c r="G619" s="96">
        <f>ROUND((1-RevenueTableAnswer[[#This Row],[Discount on Total Revenue]])*RevenueTableAnswer[[#This Row],[Total Revenue]],2)</f>
        <v>3337.45</v>
      </c>
    </row>
    <row r="620" spans="1:7" x14ac:dyDescent="0.3">
      <c r="A620" s="101">
        <v>43045</v>
      </c>
      <c r="B620" s="96" t="s">
        <v>5</v>
      </c>
      <c r="C620" s="96">
        <v>64</v>
      </c>
      <c r="D620" s="59">
        <v>22.95</v>
      </c>
      <c r="E620" s="59">
        <v>1468.8</v>
      </c>
      <c r="F620" s="96">
        <f>VLOOKUP(RevenueTableAnswer[[#This Row],[Units Sold]],DiscountTableAnswer[],2)</f>
        <v>0.375</v>
      </c>
      <c r="G620" s="96">
        <f>ROUND((1-RevenueTableAnswer[[#This Row],[Discount on Total Revenue]])*RevenueTableAnswer[[#This Row],[Total Revenue]],2)</f>
        <v>918</v>
      </c>
    </row>
    <row r="621" spans="1:7" x14ac:dyDescent="0.3">
      <c r="A621" s="101">
        <v>43042</v>
      </c>
      <c r="B621" s="96" t="s">
        <v>13</v>
      </c>
      <c r="C621" s="96">
        <v>188</v>
      </c>
      <c r="D621" s="59">
        <v>14.95</v>
      </c>
      <c r="E621" s="59">
        <v>2810.6</v>
      </c>
      <c r="F621" s="96">
        <f>VLOOKUP(RevenueTableAnswer[[#This Row],[Units Sold]],DiscountTableAnswer[],2)</f>
        <v>0.55000000000000004</v>
      </c>
      <c r="G621" s="96">
        <f>ROUND((1-RevenueTableAnswer[[#This Row],[Discount on Total Revenue]])*RevenueTableAnswer[[#This Row],[Total Revenue]],2)</f>
        <v>1264.77</v>
      </c>
    </row>
    <row r="622" spans="1:7" x14ac:dyDescent="0.3">
      <c r="A622" s="101">
        <v>43045</v>
      </c>
      <c r="B622" s="96" t="s">
        <v>5</v>
      </c>
      <c r="C622" s="96">
        <v>40</v>
      </c>
      <c r="D622" s="59">
        <v>22.95</v>
      </c>
      <c r="E622" s="59">
        <v>918</v>
      </c>
      <c r="F622" s="96">
        <f>VLOOKUP(RevenueTableAnswer[[#This Row],[Units Sold]],DiscountTableAnswer[],2)</f>
        <v>0.25</v>
      </c>
      <c r="G622" s="96">
        <f>ROUND((1-RevenueTableAnswer[[#This Row],[Discount on Total Revenue]])*RevenueTableAnswer[[#This Row],[Total Revenue]],2)</f>
        <v>688.5</v>
      </c>
    </row>
    <row r="623" spans="1:7" x14ac:dyDescent="0.3">
      <c r="A623" s="101">
        <v>43042</v>
      </c>
      <c r="B623" s="96" t="s">
        <v>8</v>
      </c>
      <c r="C623" s="96">
        <v>6</v>
      </c>
      <c r="D623" s="59">
        <v>21.95</v>
      </c>
      <c r="E623" s="59">
        <v>131.69999999999999</v>
      </c>
      <c r="F623" s="96">
        <f>VLOOKUP(RevenueTableAnswer[[#This Row],[Units Sold]],DiscountTableAnswer[],2)</f>
        <v>0</v>
      </c>
      <c r="G623" s="96">
        <f>ROUND((1-RevenueTableAnswer[[#This Row],[Discount on Total Revenue]])*RevenueTableAnswer[[#This Row],[Total Revenue]],2)</f>
        <v>131.69999999999999</v>
      </c>
    </row>
    <row r="624" spans="1:7" x14ac:dyDescent="0.3">
      <c r="A624" s="101">
        <v>43041</v>
      </c>
      <c r="B624" s="96" t="s">
        <v>13</v>
      </c>
      <c r="C624" s="96">
        <v>18</v>
      </c>
      <c r="D624" s="59">
        <v>14.95</v>
      </c>
      <c r="E624" s="59">
        <v>269.09999999999997</v>
      </c>
      <c r="F624" s="96">
        <f>VLOOKUP(RevenueTableAnswer[[#This Row],[Units Sold]],DiscountTableAnswer[],2)</f>
        <v>0.25</v>
      </c>
      <c r="G624" s="96">
        <f>ROUND((1-RevenueTableAnswer[[#This Row],[Discount on Total Revenue]])*RevenueTableAnswer[[#This Row],[Total Revenue]],2)</f>
        <v>201.83</v>
      </c>
    </row>
    <row r="625" spans="1:7" x14ac:dyDescent="0.3">
      <c r="A625" s="101">
        <v>43045</v>
      </c>
      <c r="B625" s="96" t="s">
        <v>5</v>
      </c>
      <c r="C625" s="96">
        <v>126</v>
      </c>
      <c r="D625" s="59">
        <v>22.95</v>
      </c>
      <c r="E625" s="59">
        <v>2891.7</v>
      </c>
      <c r="F625" s="96">
        <f>VLOOKUP(RevenueTableAnswer[[#This Row],[Units Sold]],DiscountTableAnswer[],2)</f>
        <v>0.4375</v>
      </c>
      <c r="G625" s="96">
        <f>ROUND((1-RevenueTableAnswer[[#This Row],[Discount on Total Revenue]])*RevenueTableAnswer[[#This Row],[Total Revenue]],2)</f>
        <v>1626.58</v>
      </c>
    </row>
    <row r="626" spans="1:7" x14ac:dyDescent="0.3">
      <c r="A626" s="101">
        <v>43044</v>
      </c>
      <c r="B626" s="96" t="s">
        <v>5</v>
      </c>
      <c r="C626" s="96">
        <v>136</v>
      </c>
      <c r="D626" s="59">
        <v>22.95</v>
      </c>
      <c r="E626" s="59">
        <v>3121.2</v>
      </c>
      <c r="F626" s="96">
        <f>VLOOKUP(RevenueTableAnswer[[#This Row],[Units Sold]],DiscountTableAnswer[],2)</f>
        <v>0.4375</v>
      </c>
      <c r="G626" s="96">
        <f>ROUND((1-RevenueTableAnswer[[#This Row],[Discount on Total Revenue]])*RevenueTableAnswer[[#This Row],[Total Revenue]],2)</f>
        <v>1755.68</v>
      </c>
    </row>
    <row r="627" spans="1:7" x14ac:dyDescent="0.3">
      <c r="A627" s="101">
        <v>43047</v>
      </c>
      <c r="B627" s="96" t="s">
        <v>8</v>
      </c>
      <c r="C627" s="96">
        <v>101</v>
      </c>
      <c r="D627" s="59">
        <v>21.95</v>
      </c>
      <c r="E627" s="59">
        <v>2216.9499999999998</v>
      </c>
      <c r="F627" s="96">
        <f>VLOOKUP(RevenueTableAnswer[[#This Row],[Units Sold]],DiscountTableAnswer[],2)</f>
        <v>0.4375</v>
      </c>
      <c r="G627" s="96">
        <f>ROUND((1-RevenueTableAnswer[[#This Row],[Discount on Total Revenue]])*RevenueTableAnswer[[#This Row],[Total Revenue]],2)</f>
        <v>1247.03</v>
      </c>
    </row>
    <row r="628" spans="1:7" x14ac:dyDescent="0.3">
      <c r="A628" s="101">
        <v>43042</v>
      </c>
      <c r="B628" s="96" t="s">
        <v>5</v>
      </c>
      <c r="C628" s="96">
        <v>23</v>
      </c>
      <c r="D628" s="59">
        <v>22.95</v>
      </c>
      <c r="E628" s="59">
        <v>527.85</v>
      </c>
      <c r="F628" s="96">
        <f>VLOOKUP(RevenueTableAnswer[[#This Row],[Units Sold]],DiscountTableAnswer[],2)</f>
        <v>0.25</v>
      </c>
      <c r="G628" s="96">
        <f>ROUND((1-RevenueTableAnswer[[#This Row],[Discount on Total Revenue]])*RevenueTableAnswer[[#This Row],[Total Revenue]],2)</f>
        <v>395.89</v>
      </c>
    </row>
    <row r="629" spans="1:7" x14ac:dyDescent="0.3">
      <c r="A629" s="101">
        <v>43040</v>
      </c>
      <c r="B629" s="96" t="s">
        <v>7</v>
      </c>
      <c r="C629" s="96">
        <v>42</v>
      </c>
      <c r="D629" s="59">
        <v>43.95</v>
      </c>
      <c r="E629" s="59">
        <v>1845.9</v>
      </c>
      <c r="F629" s="96">
        <f>VLOOKUP(RevenueTableAnswer[[#This Row],[Units Sold]],DiscountTableAnswer[],2)</f>
        <v>0.25</v>
      </c>
      <c r="G629" s="96">
        <f>ROUND((1-RevenueTableAnswer[[#This Row],[Discount on Total Revenue]])*RevenueTableAnswer[[#This Row],[Total Revenue]],2)</f>
        <v>1384.43</v>
      </c>
    </row>
    <row r="630" spans="1:7" x14ac:dyDescent="0.3">
      <c r="A630" s="101">
        <v>43043</v>
      </c>
      <c r="B630" s="96" t="s">
        <v>7</v>
      </c>
      <c r="C630" s="96">
        <v>98</v>
      </c>
      <c r="D630" s="59">
        <v>43.95</v>
      </c>
      <c r="E630" s="59">
        <v>4307.1000000000004</v>
      </c>
      <c r="F630" s="96">
        <f>VLOOKUP(RevenueTableAnswer[[#This Row],[Units Sold]],DiscountTableAnswer[],2)</f>
        <v>0.4375</v>
      </c>
      <c r="G630" s="96">
        <f>ROUND((1-RevenueTableAnswer[[#This Row],[Discount on Total Revenue]])*RevenueTableAnswer[[#This Row],[Total Revenue]],2)</f>
        <v>2422.7399999999998</v>
      </c>
    </row>
    <row r="631" spans="1:7" x14ac:dyDescent="0.3">
      <c r="A631" s="101">
        <v>43040</v>
      </c>
      <c r="B631" s="96" t="s">
        <v>5</v>
      </c>
      <c r="C631" s="96">
        <v>104</v>
      </c>
      <c r="D631" s="59">
        <v>22.95</v>
      </c>
      <c r="E631" s="59">
        <v>2386.7999999999997</v>
      </c>
      <c r="F631" s="96">
        <f>VLOOKUP(RevenueTableAnswer[[#This Row],[Units Sold]],DiscountTableAnswer[],2)</f>
        <v>0.4375</v>
      </c>
      <c r="G631" s="96">
        <f>ROUND((1-RevenueTableAnswer[[#This Row],[Discount on Total Revenue]])*RevenueTableAnswer[[#This Row],[Total Revenue]],2)</f>
        <v>1342.58</v>
      </c>
    </row>
    <row r="632" spans="1:7" x14ac:dyDescent="0.3">
      <c r="A632" s="101">
        <v>43043</v>
      </c>
      <c r="B632" s="96" t="s">
        <v>5</v>
      </c>
      <c r="C632" s="96">
        <v>113</v>
      </c>
      <c r="D632" s="59">
        <v>22.95</v>
      </c>
      <c r="E632" s="59">
        <v>2593.35</v>
      </c>
      <c r="F632" s="96">
        <f>VLOOKUP(RevenueTableAnswer[[#This Row],[Units Sold]],DiscountTableAnswer[],2)</f>
        <v>0.4375</v>
      </c>
      <c r="G632" s="96">
        <f>ROUND((1-RevenueTableAnswer[[#This Row],[Discount on Total Revenue]])*RevenueTableAnswer[[#This Row],[Total Revenue]],2)</f>
        <v>1458.76</v>
      </c>
    </row>
    <row r="633" spans="1:7" x14ac:dyDescent="0.3">
      <c r="A633" s="101">
        <v>43042</v>
      </c>
      <c r="B633" s="96" t="s">
        <v>8</v>
      </c>
      <c r="C633" s="96">
        <v>48</v>
      </c>
      <c r="D633" s="59">
        <v>21.95</v>
      </c>
      <c r="E633" s="59">
        <v>1053.5999999999999</v>
      </c>
      <c r="F633" s="96">
        <f>VLOOKUP(RevenueTableAnswer[[#This Row],[Units Sold]],DiscountTableAnswer[],2)</f>
        <v>0.375</v>
      </c>
      <c r="G633" s="96">
        <f>ROUND((1-RevenueTableAnswer[[#This Row],[Discount on Total Revenue]])*RevenueTableAnswer[[#This Row],[Total Revenue]],2)</f>
        <v>658.5</v>
      </c>
    </row>
    <row r="634" spans="1:7" x14ac:dyDescent="0.3">
      <c r="A634" s="101">
        <v>43047</v>
      </c>
      <c r="B634" s="96" t="s">
        <v>13</v>
      </c>
      <c r="C634" s="96">
        <v>168</v>
      </c>
      <c r="D634" s="59">
        <v>14.95</v>
      </c>
      <c r="E634" s="59">
        <v>2511.6</v>
      </c>
      <c r="F634" s="96">
        <f>VLOOKUP(RevenueTableAnswer[[#This Row],[Units Sold]],DiscountTableAnswer[],2)</f>
        <v>0.55000000000000004</v>
      </c>
      <c r="G634" s="96">
        <f>ROUND((1-RevenueTableAnswer[[#This Row],[Discount on Total Revenue]])*RevenueTableAnswer[[#This Row],[Total Revenue]],2)</f>
        <v>1130.22</v>
      </c>
    </row>
    <row r="635" spans="1:7" x14ac:dyDescent="0.3">
      <c r="A635" s="101">
        <v>43040</v>
      </c>
      <c r="B635" s="96" t="s">
        <v>8</v>
      </c>
      <c r="C635" s="96">
        <v>36</v>
      </c>
      <c r="D635" s="59">
        <v>21.95</v>
      </c>
      <c r="E635" s="59">
        <v>790.19999999999993</v>
      </c>
      <c r="F635" s="96">
        <f>VLOOKUP(RevenueTableAnswer[[#This Row],[Units Sold]],DiscountTableAnswer[],2)</f>
        <v>0.25</v>
      </c>
      <c r="G635" s="96">
        <f>ROUND((1-RevenueTableAnswer[[#This Row],[Discount on Total Revenue]])*RevenueTableAnswer[[#This Row],[Total Revenue]],2)</f>
        <v>592.65</v>
      </c>
    </row>
    <row r="636" spans="1:7" x14ac:dyDescent="0.3">
      <c r="A636" s="101">
        <v>43040</v>
      </c>
      <c r="B636" s="96" t="s">
        <v>5</v>
      </c>
      <c r="C636" s="96">
        <v>122</v>
      </c>
      <c r="D636" s="59">
        <v>22.95</v>
      </c>
      <c r="E636" s="59">
        <v>2799.9</v>
      </c>
      <c r="F636" s="96">
        <f>VLOOKUP(RevenueTableAnswer[[#This Row],[Units Sold]],DiscountTableAnswer[],2)</f>
        <v>0.4375</v>
      </c>
      <c r="G636" s="96">
        <f>ROUND((1-RevenueTableAnswer[[#This Row],[Discount on Total Revenue]])*RevenueTableAnswer[[#This Row],[Total Revenue]],2)</f>
        <v>1574.94</v>
      </c>
    </row>
    <row r="637" spans="1:7" x14ac:dyDescent="0.3">
      <c r="A637" s="101">
        <v>43041</v>
      </c>
      <c r="B637" s="96" t="s">
        <v>5</v>
      </c>
      <c r="C637" s="96">
        <v>136</v>
      </c>
      <c r="D637" s="59">
        <v>22.95</v>
      </c>
      <c r="E637" s="59">
        <v>3121.2</v>
      </c>
      <c r="F637" s="96">
        <f>VLOOKUP(RevenueTableAnswer[[#This Row],[Units Sold]],DiscountTableAnswer[],2)</f>
        <v>0.4375</v>
      </c>
      <c r="G637" s="96">
        <f>ROUND((1-RevenueTableAnswer[[#This Row],[Discount on Total Revenue]])*RevenueTableAnswer[[#This Row],[Total Revenue]],2)</f>
        <v>1755.68</v>
      </c>
    </row>
    <row r="638" spans="1:7" x14ac:dyDescent="0.3">
      <c r="A638" s="101">
        <v>43040</v>
      </c>
      <c r="B638" s="96" t="s">
        <v>7</v>
      </c>
      <c r="C638" s="96">
        <v>76</v>
      </c>
      <c r="D638" s="59">
        <v>43.95</v>
      </c>
      <c r="E638" s="59">
        <v>3340.2000000000003</v>
      </c>
      <c r="F638" s="96">
        <f>VLOOKUP(RevenueTableAnswer[[#This Row],[Units Sold]],DiscountTableAnswer[],2)</f>
        <v>0.375</v>
      </c>
      <c r="G638" s="96">
        <f>ROUND((1-RevenueTableAnswer[[#This Row],[Discount on Total Revenue]])*RevenueTableAnswer[[#This Row],[Total Revenue]],2)</f>
        <v>2087.63</v>
      </c>
    </row>
    <row r="639" spans="1:7" x14ac:dyDescent="0.3">
      <c r="A639" s="101">
        <v>43041</v>
      </c>
      <c r="B639" s="96" t="s">
        <v>13</v>
      </c>
      <c r="C639" s="96">
        <v>161</v>
      </c>
      <c r="D639" s="59">
        <v>14.95</v>
      </c>
      <c r="E639" s="59">
        <v>2406.9499999999998</v>
      </c>
      <c r="F639" s="96">
        <f>VLOOKUP(RevenueTableAnswer[[#This Row],[Units Sold]],DiscountTableAnswer[],2)</f>
        <v>0.5</v>
      </c>
      <c r="G639" s="96">
        <f>ROUND((1-RevenueTableAnswer[[#This Row],[Discount on Total Revenue]])*RevenueTableAnswer[[#This Row],[Total Revenue]],2)</f>
        <v>1203.48</v>
      </c>
    </row>
    <row r="640" spans="1:7" x14ac:dyDescent="0.3">
      <c r="A640" s="101">
        <v>43043</v>
      </c>
      <c r="B640" s="96" t="s">
        <v>7</v>
      </c>
      <c r="C640" s="96">
        <v>187</v>
      </c>
      <c r="D640" s="59">
        <v>43.95</v>
      </c>
      <c r="E640" s="59">
        <v>8218.65</v>
      </c>
      <c r="F640" s="96">
        <f>VLOOKUP(RevenueTableAnswer[[#This Row],[Units Sold]],DiscountTableAnswer[],2)</f>
        <v>0.55000000000000004</v>
      </c>
      <c r="G640" s="96">
        <f>ROUND((1-RevenueTableAnswer[[#This Row],[Discount on Total Revenue]])*RevenueTableAnswer[[#This Row],[Total Revenue]],2)</f>
        <v>3698.39</v>
      </c>
    </row>
    <row r="641" spans="1:7" x14ac:dyDescent="0.3">
      <c r="A641" s="101">
        <v>43044</v>
      </c>
      <c r="B641" s="96" t="s">
        <v>7</v>
      </c>
      <c r="C641" s="96">
        <v>38</v>
      </c>
      <c r="D641" s="59">
        <v>43.95</v>
      </c>
      <c r="E641" s="59">
        <v>1670.1000000000001</v>
      </c>
      <c r="F641" s="96">
        <f>VLOOKUP(RevenueTableAnswer[[#This Row],[Units Sold]],DiscountTableAnswer[],2)</f>
        <v>0.25</v>
      </c>
      <c r="G641" s="96">
        <f>ROUND((1-RevenueTableAnswer[[#This Row],[Discount on Total Revenue]])*RevenueTableAnswer[[#This Row],[Total Revenue]],2)</f>
        <v>1252.58</v>
      </c>
    </row>
    <row r="642" spans="1:7" x14ac:dyDescent="0.3">
      <c r="A642" s="101">
        <v>43047</v>
      </c>
      <c r="B642" s="96" t="s">
        <v>5</v>
      </c>
      <c r="C642" s="96">
        <v>5</v>
      </c>
      <c r="D642" s="59">
        <v>22.95</v>
      </c>
      <c r="E642" s="59">
        <v>114.75</v>
      </c>
      <c r="F642" s="96">
        <f>VLOOKUP(RevenueTableAnswer[[#This Row],[Units Sold]],DiscountTableAnswer[],2)</f>
        <v>0</v>
      </c>
      <c r="G642" s="96">
        <f>ROUND((1-RevenueTableAnswer[[#This Row],[Discount on Total Revenue]])*RevenueTableAnswer[[#This Row],[Total Revenue]],2)</f>
        <v>114.75</v>
      </c>
    </row>
    <row r="643" spans="1:7" x14ac:dyDescent="0.3">
      <c r="A643" s="101">
        <v>43045</v>
      </c>
      <c r="B643" s="96" t="s">
        <v>13</v>
      </c>
      <c r="C643" s="96">
        <v>44</v>
      </c>
      <c r="D643" s="59">
        <v>14.95</v>
      </c>
      <c r="E643" s="59">
        <v>657.8</v>
      </c>
      <c r="F643" s="96">
        <f>VLOOKUP(RevenueTableAnswer[[#This Row],[Units Sold]],DiscountTableAnswer[],2)</f>
        <v>0.25</v>
      </c>
      <c r="G643" s="96">
        <f>ROUND((1-RevenueTableAnswer[[#This Row],[Discount on Total Revenue]])*RevenueTableAnswer[[#This Row],[Total Revenue]],2)</f>
        <v>493.35</v>
      </c>
    </row>
    <row r="644" spans="1:7" x14ac:dyDescent="0.3">
      <c r="A644" s="101">
        <v>43041</v>
      </c>
      <c r="B644" s="96" t="s">
        <v>13</v>
      </c>
      <c r="C644" s="96">
        <v>101</v>
      </c>
      <c r="D644" s="59">
        <v>14.95</v>
      </c>
      <c r="E644" s="59">
        <v>1509.9499999999998</v>
      </c>
      <c r="F644" s="96">
        <f>VLOOKUP(RevenueTableAnswer[[#This Row],[Units Sold]],DiscountTableAnswer[],2)</f>
        <v>0.4375</v>
      </c>
      <c r="G644" s="96">
        <f>ROUND((1-RevenueTableAnswer[[#This Row],[Discount on Total Revenue]])*RevenueTableAnswer[[#This Row],[Total Revenue]],2)</f>
        <v>849.35</v>
      </c>
    </row>
    <row r="645" spans="1:7" x14ac:dyDescent="0.3">
      <c r="A645" s="101">
        <v>43046</v>
      </c>
      <c r="B645" s="96" t="s">
        <v>8</v>
      </c>
      <c r="C645" s="96">
        <v>129</v>
      </c>
      <c r="D645" s="59">
        <v>21.95</v>
      </c>
      <c r="E645" s="59">
        <v>2831.5499999999997</v>
      </c>
      <c r="F645" s="96">
        <f>VLOOKUP(RevenueTableAnswer[[#This Row],[Units Sold]],DiscountTableAnswer[],2)</f>
        <v>0.4375</v>
      </c>
      <c r="G645" s="96">
        <f>ROUND((1-RevenueTableAnswer[[#This Row],[Discount on Total Revenue]])*RevenueTableAnswer[[#This Row],[Total Revenue]],2)</f>
        <v>1592.75</v>
      </c>
    </row>
    <row r="646" spans="1:7" x14ac:dyDescent="0.3">
      <c r="A646" s="101">
        <v>43045</v>
      </c>
      <c r="B646" s="96" t="s">
        <v>7</v>
      </c>
      <c r="C646" s="96">
        <v>170</v>
      </c>
      <c r="D646" s="59">
        <v>43.95</v>
      </c>
      <c r="E646" s="59">
        <v>7471.5000000000009</v>
      </c>
      <c r="F646" s="96">
        <f>VLOOKUP(RevenueTableAnswer[[#This Row],[Units Sold]],DiscountTableAnswer[],2)</f>
        <v>0.55000000000000004</v>
      </c>
      <c r="G646" s="96">
        <f>ROUND((1-RevenueTableAnswer[[#This Row],[Discount on Total Revenue]])*RevenueTableAnswer[[#This Row],[Total Revenue]],2)</f>
        <v>3362.18</v>
      </c>
    </row>
    <row r="647" spans="1:7" x14ac:dyDescent="0.3">
      <c r="A647" s="101">
        <v>43047</v>
      </c>
      <c r="B647" s="96" t="s">
        <v>7</v>
      </c>
      <c r="C647" s="96">
        <v>169</v>
      </c>
      <c r="D647" s="59">
        <v>43.95</v>
      </c>
      <c r="E647" s="59">
        <v>7427.55</v>
      </c>
      <c r="F647" s="96">
        <f>VLOOKUP(RevenueTableAnswer[[#This Row],[Units Sold]],DiscountTableAnswer[],2)</f>
        <v>0.55000000000000004</v>
      </c>
      <c r="G647" s="96">
        <f>ROUND((1-RevenueTableAnswer[[#This Row],[Discount on Total Revenue]])*RevenueTableAnswer[[#This Row],[Total Revenue]],2)</f>
        <v>3342.4</v>
      </c>
    </row>
    <row r="648" spans="1:7" x14ac:dyDescent="0.3">
      <c r="A648" s="101">
        <v>43047</v>
      </c>
      <c r="B648" s="96" t="s">
        <v>13</v>
      </c>
      <c r="C648" s="96">
        <v>173</v>
      </c>
      <c r="D648" s="59">
        <v>14.95</v>
      </c>
      <c r="E648" s="59">
        <v>2586.35</v>
      </c>
      <c r="F648" s="96">
        <f>VLOOKUP(RevenueTableAnswer[[#This Row],[Units Sold]],DiscountTableAnswer[],2)</f>
        <v>0.55000000000000004</v>
      </c>
      <c r="G648" s="96">
        <f>ROUND((1-RevenueTableAnswer[[#This Row],[Discount on Total Revenue]])*RevenueTableAnswer[[#This Row],[Total Revenue]],2)</f>
        <v>1163.8599999999999</v>
      </c>
    </row>
    <row r="649" spans="1:7" x14ac:dyDescent="0.3">
      <c r="A649" s="101">
        <v>43044</v>
      </c>
      <c r="B649" s="96" t="s">
        <v>7</v>
      </c>
      <c r="C649" s="96">
        <v>155</v>
      </c>
      <c r="D649" s="59">
        <v>43.95</v>
      </c>
      <c r="E649" s="59">
        <v>6812.25</v>
      </c>
      <c r="F649" s="96">
        <f>VLOOKUP(RevenueTableAnswer[[#This Row],[Units Sold]],DiscountTableAnswer[],2)</f>
        <v>0.5</v>
      </c>
      <c r="G649" s="96">
        <f>ROUND((1-RevenueTableAnswer[[#This Row],[Discount on Total Revenue]])*RevenueTableAnswer[[#This Row],[Total Revenue]],2)</f>
        <v>3406.13</v>
      </c>
    </row>
    <row r="650" spans="1:7" x14ac:dyDescent="0.3">
      <c r="A650" s="101">
        <v>43043</v>
      </c>
      <c r="B650" s="96" t="s">
        <v>5</v>
      </c>
      <c r="C650" s="96">
        <v>40</v>
      </c>
      <c r="D650" s="59">
        <v>22.95</v>
      </c>
      <c r="E650" s="59">
        <v>918</v>
      </c>
      <c r="F650" s="96">
        <f>VLOOKUP(RevenueTableAnswer[[#This Row],[Units Sold]],DiscountTableAnswer[],2)</f>
        <v>0.25</v>
      </c>
      <c r="G650" s="96">
        <f>ROUND((1-RevenueTableAnswer[[#This Row],[Discount on Total Revenue]])*RevenueTableAnswer[[#This Row],[Total Revenue]],2)</f>
        <v>688.5</v>
      </c>
    </row>
    <row r="651" spans="1:7" x14ac:dyDescent="0.3">
      <c r="A651" s="101">
        <v>43046</v>
      </c>
      <c r="B651" s="96" t="s">
        <v>7</v>
      </c>
      <c r="C651" s="96">
        <v>14</v>
      </c>
      <c r="D651" s="59">
        <v>43.95</v>
      </c>
      <c r="E651" s="59">
        <v>615.30000000000007</v>
      </c>
      <c r="F651" s="96">
        <f>VLOOKUP(RevenueTableAnswer[[#This Row],[Units Sold]],DiscountTableAnswer[],2)</f>
        <v>0.25</v>
      </c>
      <c r="G651" s="96">
        <f>ROUND((1-RevenueTableAnswer[[#This Row],[Discount on Total Revenue]])*RevenueTableAnswer[[#This Row],[Total Revenue]],2)</f>
        <v>461.48</v>
      </c>
    </row>
    <row r="652" spans="1:7" x14ac:dyDescent="0.3">
      <c r="A652" s="101">
        <v>43042</v>
      </c>
      <c r="B652" s="96" t="s">
        <v>8</v>
      </c>
      <c r="C652" s="96">
        <v>172</v>
      </c>
      <c r="D652" s="59">
        <v>21.95</v>
      </c>
      <c r="E652" s="59">
        <v>3775.4</v>
      </c>
      <c r="F652" s="96">
        <f>VLOOKUP(RevenueTableAnswer[[#This Row],[Units Sold]],DiscountTableAnswer[],2)</f>
        <v>0.55000000000000004</v>
      </c>
      <c r="G652" s="96">
        <f>ROUND((1-RevenueTableAnswer[[#This Row],[Discount on Total Revenue]])*RevenueTableAnswer[[#This Row],[Total Revenue]],2)</f>
        <v>1698.93</v>
      </c>
    </row>
    <row r="653" spans="1:7" x14ac:dyDescent="0.3">
      <c r="A653" s="101">
        <v>43042</v>
      </c>
      <c r="B653" s="96" t="s">
        <v>5</v>
      </c>
      <c r="C653" s="96">
        <v>15</v>
      </c>
      <c r="D653" s="59">
        <v>22.95</v>
      </c>
      <c r="E653" s="59">
        <v>344.25</v>
      </c>
      <c r="F653" s="100">
        <f>VLOOKUP(RevenueTableAnswer[[#This Row],[Units Sold]],DiscountTableAnswer[],2)</f>
        <v>0.25</v>
      </c>
      <c r="G653" s="100">
        <f>ROUND((1-RevenueTableAnswer[[#This Row],[Discount on Total Revenue]])*RevenueTableAnswer[[#This Row],[Total Revenue]],2)</f>
        <v>258.19</v>
      </c>
    </row>
    <row r="654" spans="1:7" x14ac:dyDescent="0.3">
      <c r="A654" s="101">
        <v>43040</v>
      </c>
      <c r="B654" s="96" t="s">
        <v>7</v>
      </c>
      <c r="C654" s="96">
        <v>46</v>
      </c>
      <c r="D654" s="59">
        <v>22.95</v>
      </c>
      <c r="E654" s="59">
        <v>1055.7</v>
      </c>
      <c r="F654" s="100">
        <f>VLOOKUP(RevenueTableAnswer[[#This Row],[Units Sold]],DiscountTableAnswer[],2)</f>
        <v>0.25</v>
      </c>
      <c r="G654" s="100">
        <f>ROUND((1-RevenueTableAnswer[[#This Row],[Discount on Total Revenue]])*RevenueTableAnswer[[#This Row],[Total Revenue]],2)</f>
        <v>791.78</v>
      </c>
    </row>
    <row r="655" spans="1:7" x14ac:dyDescent="0.3">
      <c r="A655" s="101">
        <v>43046</v>
      </c>
      <c r="B655" s="96" t="s">
        <v>5</v>
      </c>
      <c r="C655" s="96">
        <v>17</v>
      </c>
      <c r="D655" s="59">
        <v>43.95</v>
      </c>
      <c r="E655" s="59">
        <v>747.15000000000009</v>
      </c>
      <c r="F655" s="100">
        <f>VLOOKUP(RevenueTableAnswer[[#This Row],[Units Sold]],DiscountTableAnswer[],2)</f>
        <v>0.25</v>
      </c>
      <c r="G655" s="100">
        <f>ROUND((1-RevenueTableAnswer[[#This Row],[Discount on Total Revenue]])*RevenueTableAnswer[[#This Row],[Total Revenue]],2)</f>
        <v>560.36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ADEB7-08C8-41BD-A32B-B61BDEA8C081}">
  <sheetPr>
    <tabColor theme="1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D7C8D-626C-42C0-80BD-D6FB1962F7EB}">
  <sheetPr>
    <tabColor rgb="FF0000FF"/>
  </sheetPr>
  <dimension ref="A1:M585"/>
  <sheetViews>
    <sheetView workbookViewId="0">
      <selection activeCell="G9" sqref="G9:H9"/>
      <pivotSelection pane="bottomRight" showHeader="1" extendable="1" axis="axisRow" start="4" max="26" activeRow="8" activeCol="6" previousRow="8" previousCol="6" click="1" r:id="rId1">
        <pivotArea dataOnly="0" outline="0" fieldPosition="0">
          <references count="1">
            <reference field="2" count="1">
              <x v="4"/>
            </reference>
          </references>
        </pivotArea>
      </pivotSelection>
    </sheetView>
  </sheetViews>
  <sheetFormatPr defaultRowHeight="14.4" x14ac:dyDescent="0.3"/>
  <cols>
    <col min="1" max="4" width="17.33203125" customWidth="1"/>
    <col min="5" max="5" width="8.88671875" customWidth="1"/>
    <col min="7" max="7" width="16.6640625" bestFit="1" customWidth="1"/>
    <col min="8" max="8" width="11.6640625" bestFit="1" customWidth="1"/>
  </cols>
  <sheetData>
    <row r="1" spans="1:13" x14ac:dyDescent="0.3">
      <c r="A1" s="82" t="s">
        <v>91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4"/>
    </row>
    <row r="3" spans="1:13" x14ac:dyDescent="0.3">
      <c r="A3" s="77" t="s">
        <v>1</v>
      </c>
      <c r="B3" s="77" t="s">
        <v>60</v>
      </c>
      <c r="C3" s="77" t="s">
        <v>61</v>
      </c>
      <c r="D3" s="77" t="s">
        <v>62</v>
      </c>
      <c r="E3" s="76"/>
      <c r="F3" s="76"/>
      <c r="G3" s="76"/>
      <c r="H3" s="76"/>
    </row>
    <row r="4" spans="1:13" x14ac:dyDescent="0.3">
      <c r="A4" s="79">
        <v>41568</v>
      </c>
      <c r="B4" s="78" t="s">
        <v>63</v>
      </c>
      <c r="C4" s="78" t="s">
        <v>64</v>
      </c>
      <c r="D4" s="80">
        <v>519</v>
      </c>
      <c r="E4" s="76"/>
      <c r="F4" s="76"/>
      <c r="G4" s="81" t="s">
        <v>61</v>
      </c>
      <c r="H4" s="104" t="s">
        <v>92</v>
      </c>
    </row>
    <row r="5" spans="1:13" x14ac:dyDescent="0.3">
      <c r="A5" s="79">
        <v>41572</v>
      </c>
      <c r="B5" s="78" t="s">
        <v>63</v>
      </c>
      <c r="C5" s="78" t="s">
        <v>65</v>
      </c>
      <c r="D5" s="80">
        <v>651</v>
      </c>
      <c r="E5" s="76"/>
      <c r="F5" s="76"/>
      <c r="G5" s="96" t="s">
        <v>88</v>
      </c>
      <c r="H5" s="104">
        <v>4047</v>
      </c>
    </row>
    <row r="6" spans="1:13" x14ac:dyDescent="0.3">
      <c r="A6" s="79">
        <v>41573</v>
      </c>
      <c r="B6" s="78" t="s">
        <v>63</v>
      </c>
      <c r="C6" s="78" t="s">
        <v>66</v>
      </c>
      <c r="D6" s="80">
        <v>618</v>
      </c>
      <c r="E6" s="76"/>
      <c r="F6" s="76"/>
      <c r="G6" s="96" t="s">
        <v>73</v>
      </c>
      <c r="H6" s="104">
        <v>4860</v>
      </c>
    </row>
    <row r="7" spans="1:13" x14ac:dyDescent="0.3">
      <c r="A7" s="79">
        <v>41570</v>
      </c>
      <c r="B7" s="78" t="s">
        <v>67</v>
      </c>
      <c r="C7" s="78" t="s">
        <v>68</v>
      </c>
      <c r="D7" s="80">
        <v>335</v>
      </c>
      <c r="E7" s="76"/>
      <c r="F7" s="76"/>
      <c r="G7" s="96" t="s">
        <v>68</v>
      </c>
      <c r="H7" s="104">
        <v>14779</v>
      </c>
    </row>
    <row r="8" spans="1:13" x14ac:dyDescent="0.3">
      <c r="A8" s="79">
        <v>41567</v>
      </c>
      <c r="B8" s="78" t="s">
        <v>67</v>
      </c>
      <c r="C8" s="78" t="s">
        <v>68</v>
      </c>
      <c r="D8" s="80">
        <v>640</v>
      </c>
      <c r="E8" s="76"/>
      <c r="F8" s="76"/>
      <c r="G8" s="96" t="s">
        <v>66</v>
      </c>
      <c r="H8" s="104">
        <v>13915</v>
      </c>
    </row>
    <row r="9" spans="1:13" x14ac:dyDescent="0.3">
      <c r="A9" s="79">
        <v>41570</v>
      </c>
      <c r="B9" s="78" t="s">
        <v>69</v>
      </c>
      <c r="C9" s="78" t="s">
        <v>70</v>
      </c>
      <c r="D9" s="80">
        <v>586</v>
      </c>
      <c r="E9" s="76"/>
      <c r="F9" s="76"/>
      <c r="G9" s="96" t="s">
        <v>77</v>
      </c>
      <c r="H9" s="104">
        <v>4368</v>
      </c>
    </row>
    <row r="10" spans="1:13" x14ac:dyDescent="0.3">
      <c r="A10" s="79">
        <v>41568</v>
      </c>
      <c r="B10" s="78" t="s">
        <v>63</v>
      </c>
      <c r="C10" s="78" t="s">
        <v>71</v>
      </c>
      <c r="D10" s="80">
        <v>301</v>
      </c>
      <c r="E10" s="76"/>
      <c r="F10" s="76"/>
      <c r="G10" s="96" t="s">
        <v>86</v>
      </c>
      <c r="H10" s="104">
        <v>2939</v>
      </c>
    </row>
    <row r="11" spans="1:13" x14ac:dyDescent="0.3">
      <c r="A11" s="79">
        <v>41572</v>
      </c>
      <c r="B11" s="78" t="s">
        <v>69</v>
      </c>
      <c r="C11" s="78" t="s">
        <v>65</v>
      </c>
      <c r="D11" s="80">
        <v>359</v>
      </c>
      <c r="E11" s="76"/>
      <c r="F11" s="76"/>
      <c r="G11" s="96" t="s">
        <v>65</v>
      </c>
      <c r="H11" s="104">
        <v>15181</v>
      </c>
    </row>
    <row r="12" spans="1:13" x14ac:dyDescent="0.3">
      <c r="A12" s="79">
        <v>41567</v>
      </c>
      <c r="B12" s="78" t="s">
        <v>63</v>
      </c>
      <c r="C12" s="78" t="s">
        <v>70</v>
      </c>
      <c r="D12" s="80">
        <v>658</v>
      </c>
      <c r="E12" s="76"/>
      <c r="F12" s="76"/>
      <c r="G12" s="96" t="s">
        <v>84</v>
      </c>
      <c r="H12" s="104">
        <v>4662</v>
      </c>
    </row>
    <row r="13" spans="1:13" x14ac:dyDescent="0.3">
      <c r="A13" s="79">
        <v>41568</v>
      </c>
      <c r="B13" s="78" t="s">
        <v>69</v>
      </c>
      <c r="C13" s="78" t="s">
        <v>65</v>
      </c>
      <c r="D13" s="80">
        <v>213</v>
      </c>
      <c r="E13" s="76"/>
      <c r="F13" s="76"/>
      <c r="G13" s="96" t="s">
        <v>76</v>
      </c>
      <c r="H13" s="104">
        <v>2485</v>
      </c>
    </row>
    <row r="14" spans="1:13" x14ac:dyDescent="0.3">
      <c r="A14" s="79">
        <v>41572</v>
      </c>
      <c r="B14" s="78" t="s">
        <v>69</v>
      </c>
      <c r="C14" s="78" t="s">
        <v>72</v>
      </c>
      <c r="D14" s="80">
        <v>500</v>
      </c>
      <c r="E14" s="76"/>
      <c r="F14" s="76"/>
      <c r="G14" s="96" t="s">
        <v>82</v>
      </c>
      <c r="H14" s="104">
        <v>6436</v>
      </c>
    </row>
    <row r="15" spans="1:13" x14ac:dyDescent="0.3">
      <c r="A15" s="79">
        <v>41569</v>
      </c>
      <c r="B15" s="78" t="s">
        <v>67</v>
      </c>
      <c r="C15" s="78" t="s">
        <v>70</v>
      </c>
      <c r="D15" s="80">
        <v>604</v>
      </c>
      <c r="E15" s="76"/>
      <c r="F15" s="76"/>
      <c r="G15" s="96" t="s">
        <v>89</v>
      </c>
      <c r="H15" s="104">
        <v>3204</v>
      </c>
    </row>
    <row r="16" spans="1:13" x14ac:dyDescent="0.3">
      <c r="A16" s="79">
        <v>41570</v>
      </c>
      <c r="B16" s="78" t="s">
        <v>63</v>
      </c>
      <c r="C16" s="78" t="s">
        <v>73</v>
      </c>
      <c r="D16" s="80">
        <v>340</v>
      </c>
      <c r="E16" s="76"/>
      <c r="F16" s="76"/>
      <c r="G16" s="96" t="s">
        <v>64</v>
      </c>
      <c r="H16" s="104">
        <v>6027</v>
      </c>
    </row>
    <row r="17" spans="1:8" x14ac:dyDescent="0.3">
      <c r="A17" s="79">
        <v>41568</v>
      </c>
      <c r="B17" s="78" t="s">
        <v>67</v>
      </c>
      <c r="C17" s="78" t="s">
        <v>72</v>
      </c>
      <c r="D17" s="80">
        <v>117</v>
      </c>
      <c r="G17" s="96" t="s">
        <v>87</v>
      </c>
      <c r="H17" s="104">
        <v>2287</v>
      </c>
    </row>
    <row r="18" spans="1:8" x14ac:dyDescent="0.3">
      <c r="A18" s="79">
        <v>41572</v>
      </c>
      <c r="B18" s="78" t="s">
        <v>69</v>
      </c>
      <c r="C18" s="78" t="s">
        <v>74</v>
      </c>
      <c r="D18" s="80">
        <v>234</v>
      </c>
      <c r="G18" s="96" t="s">
        <v>79</v>
      </c>
      <c r="H18" s="104">
        <v>16838</v>
      </c>
    </row>
    <row r="19" spans="1:8" x14ac:dyDescent="0.3">
      <c r="A19" s="79">
        <v>41567</v>
      </c>
      <c r="B19" s="78" t="s">
        <v>63</v>
      </c>
      <c r="C19" s="78" t="s">
        <v>74</v>
      </c>
      <c r="D19" s="80">
        <v>225</v>
      </c>
      <c r="G19" s="96" t="s">
        <v>70</v>
      </c>
      <c r="H19" s="104">
        <v>15449</v>
      </c>
    </row>
    <row r="20" spans="1:8" x14ac:dyDescent="0.3">
      <c r="A20" s="79">
        <v>41572</v>
      </c>
      <c r="B20" s="78" t="s">
        <v>69</v>
      </c>
      <c r="C20" s="78" t="s">
        <v>75</v>
      </c>
      <c r="D20" s="80">
        <v>302</v>
      </c>
      <c r="G20" s="96" t="s">
        <v>90</v>
      </c>
      <c r="H20" s="104">
        <v>4284</v>
      </c>
    </row>
    <row r="21" spans="1:8" x14ac:dyDescent="0.3">
      <c r="A21" s="79">
        <v>41571</v>
      </c>
      <c r="B21" s="78" t="s">
        <v>67</v>
      </c>
      <c r="C21" s="78" t="s">
        <v>76</v>
      </c>
      <c r="D21" s="80">
        <v>223</v>
      </c>
      <c r="G21" s="96" t="s">
        <v>72</v>
      </c>
      <c r="H21" s="104">
        <v>17520</v>
      </c>
    </row>
    <row r="22" spans="1:8" x14ac:dyDescent="0.3">
      <c r="A22" s="79">
        <v>41569</v>
      </c>
      <c r="B22" s="78" t="s">
        <v>63</v>
      </c>
      <c r="C22" s="78" t="s">
        <v>70</v>
      </c>
      <c r="D22" s="80">
        <v>401</v>
      </c>
      <c r="G22" s="96" t="s">
        <v>74</v>
      </c>
      <c r="H22" s="104">
        <v>15973</v>
      </c>
    </row>
    <row r="23" spans="1:8" x14ac:dyDescent="0.3">
      <c r="A23" s="79">
        <v>41571</v>
      </c>
      <c r="B23" s="78" t="s">
        <v>63</v>
      </c>
      <c r="C23" s="78" t="s">
        <v>66</v>
      </c>
      <c r="D23" s="80">
        <v>405</v>
      </c>
      <c r="G23" s="96" t="s">
        <v>71</v>
      </c>
      <c r="H23" s="104">
        <v>14079</v>
      </c>
    </row>
    <row r="24" spans="1:8" x14ac:dyDescent="0.3">
      <c r="A24" s="79">
        <v>41568</v>
      </c>
      <c r="B24" s="78" t="s">
        <v>67</v>
      </c>
      <c r="C24" s="78" t="s">
        <v>71</v>
      </c>
      <c r="D24" s="80">
        <v>493</v>
      </c>
      <c r="G24" s="96" t="s">
        <v>78</v>
      </c>
      <c r="H24" s="104">
        <v>12691</v>
      </c>
    </row>
    <row r="25" spans="1:8" x14ac:dyDescent="0.3">
      <c r="A25" s="79">
        <v>41568</v>
      </c>
      <c r="B25" s="78" t="s">
        <v>69</v>
      </c>
      <c r="C25" s="78" t="s">
        <v>72</v>
      </c>
      <c r="D25" s="80">
        <v>214</v>
      </c>
      <c r="G25" s="96" t="s">
        <v>83</v>
      </c>
      <c r="H25" s="104">
        <v>5527</v>
      </c>
    </row>
    <row r="26" spans="1:8" x14ac:dyDescent="0.3">
      <c r="A26" s="79">
        <v>41569</v>
      </c>
      <c r="B26" s="78" t="s">
        <v>69</v>
      </c>
      <c r="C26" s="78" t="s">
        <v>68</v>
      </c>
      <c r="D26" s="80">
        <v>366</v>
      </c>
      <c r="G26" s="96" t="s">
        <v>85</v>
      </c>
      <c r="H26" s="104">
        <v>1941</v>
      </c>
    </row>
    <row r="27" spans="1:8" x14ac:dyDescent="0.3">
      <c r="A27" s="79">
        <v>41569</v>
      </c>
      <c r="B27" s="78" t="s">
        <v>67</v>
      </c>
      <c r="C27" s="78" t="s">
        <v>65</v>
      </c>
      <c r="D27" s="80">
        <v>191</v>
      </c>
      <c r="G27" s="96" t="s">
        <v>81</v>
      </c>
      <c r="H27" s="104">
        <v>6024</v>
      </c>
    </row>
    <row r="28" spans="1:8" x14ac:dyDescent="0.3">
      <c r="A28" s="79">
        <v>41572</v>
      </c>
      <c r="B28" s="78" t="s">
        <v>63</v>
      </c>
      <c r="C28" s="78" t="s">
        <v>74</v>
      </c>
      <c r="D28" s="80">
        <v>628</v>
      </c>
      <c r="G28" s="96" t="s">
        <v>75</v>
      </c>
      <c r="H28" s="104">
        <v>4485</v>
      </c>
    </row>
    <row r="29" spans="1:8" x14ac:dyDescent="0.3">
      <c r="A29" s="79">
        <v>41573</v>
      </c>
      <c r="B29" s="78" t="s">
        <v>63</v>
      </c>
      <c r="C29" s="78" t="s">
        <v>68</v>
      </c>
      <c r="D29" s="80">
        <v>144</v>
      </c>
      <c r="G29" s="96" t="s">
        <v>80</v>
      </c>
      <c r="H29" s="104">
        <v>3017</v>
      </c>
    </row>
    <row r="30" spans="1:8" x14ac:dyDescent="0.3">
      <c r="A30" s="79">
        <v>41573</v>
      </c>
      <c r="B30" s="78" t="s">
        <v>69</v>
      </c>
      <c r="C30" s="78" t="s">
        <v>74</v>
      </c>
      <c r="D30" s="80">
        <v>335</v>
      </c>
      <c r="G30" s="96" t="s">
        <v>36</v>
      </c>
      <c r="H30" s="104">
        <v>203018</v>
      </c>
    </row>
    <row r="31" spans="1:8" x14ac:dyDescent="0.3">
      <c r="A31" s="79">
        <v>41569</v>
      </c>
      <c r="B31" s="78" t="s">
        <v>69</v>
      </c>
      <c r="C31" s="78" t="s">
        <v>71</v>
      </c>
      <c r="D31" s="80">
        <v>571</v>
      </c>
    </row>
    <row r="32" spans="1:8" x14ac:dyDescent="0.3">
      <c r="A32" s="79">
        <v>41572</v>
      </c>
      <c r="B32" s="78" t="s">
        <v>69</v>
      </c>
      <c r="C32" s="78" t="s">
        <v>68</v>
      </c>
      <c r="D32" s="80">
        <v>136</v>
      </c>
    </row>
    <row r="33" spans="1:4" x14ac:dyDescent="0.3">
      <c r="A33" s="79">
        <v>41572</v>
      </c>
      <c r="B33" s="78" t="s">
        <v>67</v>
      </c>
      <c r="C33" s="78" t="s">
        <v>72</v>
      </c>
      <c r="D33" s="80">
        <v>201</v>
      </c>
    </row>
    <row r="34" spans="1:4" x14ac:dyDescent="0.3">
      <c r="A34" s="79">
        <v>41570</v>
      </c>
      <c r="B34" s="78" t="s">
        <v>67</v>
      </c>
      <c r="C34" s="78" t="s">
        <v>77</v>
      </c>
      <c r="D34" s="80">
        <v>339</v>
      </c>
    </row>
    <row r="35" spans="1:4" x14ac:dyDescent="0.3">
      <c r="A35" s="79">
        <v>41572</v>
      </c>
      <c r="B35" s="78" t="s">
        <v>67</v>
      </c>
      <c r="C35" s="78" t="s">
        <v>70</v>
      </c>
      <c r="D35" s="80">
        <v>203</v>
      </c>
    </row>
    <row r="36" spans="1:4" x14ac:dyDescent="0.3">
      <c r="A36" s="79">
        <v>41568</v>
      </c>
      <c r="B36" s="78" t="s">
        <v>63</v>
      </c>
      <c r="C36" s="78" t="s">
        <v>73</v>
      </c>
      <c r="D36" s="80">
        <v>526</v>
      </c>
    </row>
    <row r="37" spans="1:4" x14ac:dyDescent="0.3">
      <c r="A37" s="79">
        <v>41572</v>
      </c>
      <c r="B37" s="78" t="s">
        <v>63</v>
      </c>
      <c r="C37" s="78" t="s">
        <v>71</v>
      </c>
      <c r="D37" s="80">
        <v>86</v>
      </c>
    </row>
    <row r="38" spans="1:4" x14ac:dyDescent="0.3">
      <c r="A38" s="79">
        <v>41571</v>
      </c>
      <c r="B38" s="78" t="s">
        <v>69</v>
      </c>
      <c r="C38" s="78" t="s">
        <v>78</v>
      </c>
      <c r="D38" s="80">
        <v>388</v>
      </c>
    </row>
    <row r="39" spans="1:4" x14ac:dyDescent="0.3">
      <c r="A39" s="79">
        <v>41572</v>
      </c>
      <c r="B39" s="78" t="s">
        <v>67</v>
      </c>
      <c r="C39" s="78" t="s">
        <v>79</v>
      </c>
      <c r="D39" s="80">
        <v>119</v>
      </c>
    </row>
    <row r="40" spans="1:4" x14ac:dyDescent="0.3">
      <c r="A40" s="79">
        <v>41568</v>
      </c>
      <c r="B40" s="78" t="s">
        <v>63</v>
      </c>
      <c r="C40" s="78" t="s">
        <v>79</v>
      </c>
      <c r="D40" s="80">
        <v>296</v>
      </c>
    </row>
    <row r="41" spans="1:4" x14ac:dyDescent="0.3">
      <c r="A41" s="79">
        <v>41568</v>
      </c>
      <c r="B41" s="78" t="s">
        <v>67</v>
      </c>
      <c r="C41" s="78" t="s">
        <v>66</v>
      </c>
      <c r="D41" s="80">
        <v>295</v>
      </c>
    </row>
    <row r="42" spans="1:4" x14ac:dyDescent="0.3">
      <c r="A42" s="79">
        <v>41568</v>
      </c>
      <c r="B42" s="78" t="s">
        <v>67</v>
      </c>
      <c r="C42" s="78" t="s">
        <v>77</v>
      </c>
      <c r="D42" s="80">
        <v>120</v>
      </c>
    </row>
    <row r="43" spans="1:4" x14ac:dyDescent="0.3">
      <c r="A43" s="79">
        <v>41568</v>
      </c>
      <c r="B43" s="78" t="s">
        <v>63</v>
      </c>
      <c r="C43" s="78" t="s">
        <v>65</v>
      </c>
      <c r="D43" s="80">
        <v>647</v>
      </c>
    </row>
    <row r="44" spans="1:4" x14ac:dyDescent="0.3">
      <c r="A44" s="79">
        <v>41569</v>
      </c>
      <c r="B44" s="78" t="s">
        <v>67</v>
      </c>
      <c r="C44" s="78" t="s">
        <v>80</v>
      </c>
      <c r="D44" s="80">
        <v>159</v>
      </c>
    </row>
    <row r="45" spans="1:4" x14ac:dyDescent="0.3">
      <c r="A45" s="79">
        <v>41570</v>
      </c>
      <c r="B45" s="78" t="s">
        <v>67</v>
      </c>
      <c r="C45" s="78" t="s">
        <v>73</v>
      </c>
      <c r="D45" s="80">
        <v>217</v>
      </c>
    </row>
    <row r="46" spans="1:4" x14ac:dyDescent="0.3">
      <c r="A46" s="79">
        <v>41571</v>
      </c>
      <c r="B46" s="78" t="s">
        <v>69</v>
      </c>
      <c r="C46" s="78" t="s">
        <v>70</v>
      </c>
      <c r="D46" s="80">
        <v>362</v>
      </c>
    </row>
    <row r="47" spans="1:4" x14ac:dyDescent="0.3">
      <c r="A47" s="79">
        <v>41573</v>
      </c>
      <c r="B47" s="78" t="s">
        <v>69</v>
      </c>
      <c r="C47" s="78" t="s">
        <v>75</v>
      </c>
      <c r="D47" s="80">
        <v>599</v>
      </c>
    </row>
    <row r="48" spans="1:4" x14ac:dyDescent="0.3">
      <c r="A48" s="79">
        <v>41572</v>
      </c>
      <c r="B48" s="78" t="s">
        <v>63</v>
      </c>
      <c r="C48" s="78" t="s">
        <v>64</v>
      </c>
      <c r="D48" s="80">
        <v>546</v>
      </c>
    </row>
    <row r="49" spans="1:4" x14ac:dyDescent="0.3">
      <c r="A49" s="79">
        <v>41572</v>
      </c>
      <c r="B49" s="78" t="s">
        <v>67</v>
      </c>
      <c r="C49" s="78" t="s">
        <v>72</v>
      </c>
      <c r="D49" s="80">
        <v>254</v>
      </c>
    </row>
    <row r="50" spans="1:4" x14ac:dyDescent="0.3">
      <c r="A50" s="79">
        <v>41567</v>
      </c>
      <c r="B50" s="78" t="s">
        <v>63</v>
      </c>
      <c r="C50" s="78" t="s">
        <v>65</v>
      </c>
      <c r="D50" s="80">
        <v>101</v>
      </c>
    </row>
    <row r="51" spans="1:4" x14ac:dyDescent="0.3">
      <c r="A51" s="79">
        <v>41573</v>
      </c>
      <c r="B51" s="78" t="s">
        <v>69</v>
      </c>
      <c r="C51" s="78" t="s">
        <v>72</v>
      </c>
      <c r="D51" s="80">
        <v>150</v>
      </c>
    </row>
    <row r="52" spans="1:4" x14ac:dyDescent="0.3">
      <c r="A52" s="79">
        <v>41572</v>
      </c>
      <c r="B52" s="78" t="s">
        <v>69</v>
      </c>
      <c r="C52" s="78" t="s">
        <v>71</v>
      </c>
      <c r="D52" s="80">
        <v>204</v>
      </c>
    </row>
    <row r="53" spans="1:4" x14ac:dyDescent="0.3">
      <c r="A53" s="79">
        <v>41571</v>
      </c>
      <c r="B53" s="78" t="s">
        <v>69</v>
      </c>
      <c r="C53" s="78" t="s">
        <v>77</v>
      </c>
      <c r="D53" s="80">
        <v>106</v>
      </c>
    </row>
    <row r="54" spans="1:4" x14ac:dyDescent="0.3">
      <c r="A54" s="79">
        <v>41568</v>
      </c>
      <c r="B54" s="78" t="s">
        <v>63</v>
      </c>
      <c r="C54" s="78" t="s">
        <v>71</v>
      </c>
      <c r="D54" s="80">
        <v>333</v>
      </c>
    </row>
    <row r="55" spans="1:4" x14ac:dyDescent="0.3">
      <c r="A55" s="79">
        <v>41571</v>
      </c>
      <c r="B55" s="78" t="s">
        <v>67</v>
      </c>
      <c r="C55" s="78" t="s">
        <v>71</v>
      </c>
      <c r="D55" s="80">
        <v>67</v>
      </c>
    </row>
    <row r="56" spans="1:4" x14ac:dyDescent="0.3">
      <c r="A56" s="79">
        <v>41567</v>
      </c>
      <c r="B56" s="78" t="s">
        <v>67</v>
      </c>
      <c r="C56" s="78" t="s">
        <v>75</v>
      </c>
      <c r="D56" s="80">
        <v>51</v>
      </c>
    </row>
    <row r="57" spans="1:4" x14ac:dyDescent="0.3">
      <c r="A57" s="79">
        <v>41568</v>
      </c>
      <c r="B57" s="78" t="s">
        <v>69</v>
      </c>
      <c r="C57" s="78" t="s">
        <v>72</v>
      </c>
      <c r="D57" s="80">
        <v>279</v>
      </c>
    </row>
    <row r="58" spans="1:4" x14ac:dyDescent="0.3">
      <c r="A58" s="79">
        <v>41571</v>
      </c>
      <c r="B58" s="78" t="s">
        <v>69</v>
      </c>
      <c r="C58" s="78" t="s">
        <v>81</v>
      </c>
      <c r="D58" s="80">
        <v>123</v>
      </c>
    </row>
    <row r="59" spans="1:4" x14ac:dyDescent="0.3">
      <c r="A59" s="79">
        <v>41568</v>
      </c>
      <c r="B59" s="78" t="s">
        <v>63</v>
      </c>
      <c r="C59" s="78" t="s">
        <v>68</v>
      </c>
      <c r="D59" s="80">
        <v>519</v>
      </c>
    </row>
    <row r="60" spans="1:4" x14ac:dyDescent="0.3">
      <c r="A60" s="79">
        <v>41569</v>
      </c>
      <c r="B60" s="78" t="s">
        <v>67</v>
      </c>
      <c r="C60" s="78" t="s">
        <v>74</v>
      </c>
      <c r="D60" s="80">
        <v>501</v>
      </c>
    </row>
    <row r="61" spans="1:4" x14ac:dyDescent="0.3">
      <c r="A61" s="79">
        <v>41573</v>
      </c>
      <c r="B61" s="78" t="s">
        <v>63</v>
      </c>
      <c r="C61" s="78" t="s">
        <v>79</v>
      </c>
      <c r="D61" s="80">
        <v>235</v>
      </c>
    </row>
    <row r="62" spans="1:4" x14ac:dyDescent="0.3">
      <c r="A62" s="79">
        <v>41570</v>
      </c>
      <c r="B62" s="78" t="s">
        <v>69</v>
      </c>
      <c r="C62" s="78" t="s">
        <v>66</v>
      </c>
      <c r="D62" s="80">
        <v>35</v>
      </c>
    </row>
    <row r="63" spans="1:4" x14ac:dyDescent="0.3">
      <c r="A63" s="79">
        <v>41570</v>
      </c>
      <c r="B63" s="78" t="s">
        <v>63</v>
      </c>
      <c r="C63" s="78" t="s">
        <v>68</v>
      </c>
      <c r="D63" s="80">
        <v>319</v>
      </c>
    </row>
    <row r="64" spans="1:4" x14ac:dyDescent="0.3">
      <c r="A64" s="79">
        <v>41571</v>
      </c>
      <c r="B64" s="78" t="s">
        <v>67</v>
      </c>
      <c r="C64" s="78" t="s">
        <v>66</v>
      </c>
      <c r="D64" s="80">
        <v>551</v>
      </c>
    </row>
    <row r="65" spans="1:4" x14ac:dyDescent="0.3">
      <c r="A65" s="79">
        <v>41573</v>
      </c>
      <c r="B65" s="78" t="s">
        <v>69</v>
      </c>
      <c r="C65" s="78" t="s">
        <v>78</v>
      </c>
      <c r="D65" s="80">
        <v>188</v>
      </c>
    </row>
    <row r="66" spans="1:4" x14ac:dyDescent="0.3">
      <c r="A66" s="79">
        <v>41572</v>
      </c>
      <c r="B66" s="78" t="s">
        <v>63</v>
      </c>
      <c r="C66" s="78" t="s">
        <v>79</v>
      </c>
      <c r="D66" s="80">
        <v>129</v>
      </c>
    </row>
    <row r="67" spans="1:4" x14ac:dyDescent="0.3">
      <c r="A67" s="79">
        <v>41567</v>
      </c>
      <c r="B67" s="78" t="s">
        <v>63</v>
      </c>
      <c r="C67" s="78" t="s">
        <v>77</v>
      </c>
      <c r="D67" s="80">
        <v>339</v>
      </c>
    </row>
    <row r="68" spans="1:4" x14ac:dyDescent="0.3">
      <c r="A68" s="79">
        <v>41568</v>
      </c>
      <c r="B68" s="78" t="s">
        <v>69</v>
      </c>
      <c r="C68" s="78" t="s">
        <v>79</v>
      </c>
      <c r="D68" s="80">
        <v>485</v>
      </c>
    </row>
    <row r="69" spans="1:4" x14ac:dyDescent="0.3">
      <c r="A69" s="79">
        <v>41567</v>
      </c>
      <c r="B69" s="78" t="s">
        <v>63</v>
      </c>
      <c r="C69" s="78" t="s">
        <v>74</v>
      </c>
      <c r="D69" s="80">
        <v>29</v>
      </c>
    </row>
    <row r="70" spans="1:4" x14ac:dyDescent="0.3">
      <c r="A70" s="79">
        <v>41567</v>
      </c>
      <c r="B70" s="78" t="s">
        <v>69</v>
      </c>
      <c r="C70" s="78" t="s">
        <v>70</v>
      </c>
      <c r="D70" s="80">
        <v>135</v>
      </c>
    </row>
    <row r="71" spans="1:4" x14ac:dyDescent="0.3">
      <c r="A71" s="79">
        <v>41573</v>
      </c>
      <c r="B71" s="78" t="s">
        <v>69</v>
      </c>
      <c r="C71" s="78" t="s">
        <v>64</v>
      </c>
      <c r="D71" s="80">
        <v>584</v>
      </c>
    </row>
    <row r="72" spans="1:4" x14ac:dyDescent="0.3">
      <c r="A72" s="79">
        <v>41570</v>
      </c>
      <c r="B72" s="78" t="s">
        <v>67</v>
      </c>
      <c r="C72" s="78" t="s">
        <v>72</v>
      </c>
      <c r="D72" s="80">
        <v>684</v>
      </c>
    </row>
    <row r="73" spans="1:4" x14ac:dyDescent="0.3">
      <c r="A73" s="79">
        <v>41570</v>
      </c>
      <c r="B73" s="78" t="s">
        <v>63</v>
      </c>
      <c r="C73" s="78" t="s">
        <v>68</v>
      </c>
      <c r="D73" s="80">
        <v>528</v>
      </c>
    </row>
    <row r="74" spans="1:4" x14ac:dyDescent="0.3">
      <c r="A74" s="79">
        <v>41573</v>
      </c>
      <c r="B74" s="78" t="s">
        <v>69</v>
      </c>
      <c r="C74" s="78" t="s">
        <v>72</v>
      </c>
      <c r="D74" s="80">
        <v>675</v>
      </c>
    </row>
    <row r="75" spans="1:4" x14ac:dyDescent="0.3">
      <c r="A75" s="79">
        <v>41570</v>
      </c>
      <c r="B75" s="78" t="s">
        <v>63</v>
      </c>
      <c r="C75" s="78" t="s">
        <v>77</v>
      </c>
      <c r="D75" s="80">
        <v>119</v>
      </c>
    </row>
    <row r="76" spans="1:4" x14ac:dyDescent="0.3">
      <c r="A76" s="79">
        <v>41569</v>
      </c>
      <c r="B76" s="78" t="s">
        <v>63</v>
      </c>
      <c r="C76" s="78" t="s">
        <v>70</v>
      </c>
      <c r="D76" s="80">
        <v>368</v>
      </c>
    </row>
    <row r="77" spans="1:4" x14ac:dyDescent="0.3">
      <c r="A77" s="79">
        <v>41571</v>
      </c>
      <c r="B77" s="78" t="s">
        <v>69</v>
      </c>
      <c r="C77" s="78" t="s">
        <v>82</v>
      </c>
      <c r="D77" s="80">
        <v>524</v>
      </c>
    </row>
    <row r="78" spans="1:4" x14ac:dyDescent="0.3">
      <c r="A78" s="79">
        <v>41571</v>
      </c>
      <c r="B78" s="78" t="s">
        <v>69</v>
      </c>
      <c r="C78" s="78" t="s">
        <v>72</v>
      </c>
      <c r="D78" s="80">
        <v>329</v>
      </c>
    </row>
    <row r="79" spans="1:4" x14ac:dyDescent="0.3">
      <c r="A79" s="79">
        <v>41573</v>
      </c>
      <c r="B79" s="78" t="s">
        <v>63</v>
      </c>
      <c r="C79" s="78" t="s">
        <v>83</v>
      </c>
      <c r="D79" s="80">
        <v>146</v>
      </c>
    </row>
    <row r="80" spans="1:4" x14ac:dyDescent="0.3">
      <c r="A80" s="79">
        <v>41573</v>
      </c>
      <c r="B80" s="78" t="s">
        <v>67</v>
      </c>
      <c r="C80" s="78" t="s">
        <v>68</v>
      </c>
      <c r="D80" s="80">
        <v>350</v>
      </c>
    </row>
    <row r="81" spans="1:4" x14ac:dyDescent="0.3">
      <c r="A81" s="79">
        <v>41570</v>
      </c>
      <c r="B81" s="78" t="s">
        <v>69</v>
      </c>
      <c r="C81" s="78" t="s">
        <v>78</v>
      </c>
      <c r="D81" s="80">
        <v>387</v>
      </c>
    </row>
    <row r="82" spans="1:4" x14ac:dyDescent="0.3">
      <c r="A82" s="79">
        <v>41567</v>
      </c>
      <c r="B82" s="78" t="s">
        <v>69</v>
      </c>
      <c r="C82" s="78" t="s">
        <v>84</v>
      </c>
      <c r="D82" s="80">
        <v>244</v>
      </c>
    </row>
    <row r="83" spans="1:4" x14ac:dyDescent="0.3">
      <c r="A83" s="79">
        <v>41570</v>
      </c>
      <c r="B83" s="78" t="s">
        <v>69</v>
      </c>
      <c r="C83" s="78" t="s">
        <v>79</v>
      </c>
      <c r="D83" s="80">
        <v>388</v>
      </c>
    </row>
    <row r="84" spans="1:4" x14ac:dyDescent="0.3">
      <c r="A84" s="79">
        <v>41567</v>
      </c>
      <c r="B84" s="78" t="s">
        <v>69</v>
      </c>
      <c r="C84" s="78" t="s">
        <v>78</v>
      </c>
      <c r="D84" s="80">
        <v>449</v>
      </c>
    </row>
    <row r="85" spans="1:4" x14ac:dyDescent="0.3">
      <c r="A85" s="79">
        <v>41569</v>
      </c>
      <c r="B85" s="78" t="s">
        <v>63</v>
      </c>
      <c r="C85" s="78" t="s">
        <v>78</v>
      </c>
      <c r="D85" s="80">
        <v>477</v>
      </c>
    </row>
    <row r="86" spans="1:4" x14ac:dyDescent="0.3">
      <c r="A86" s="79">
        <v>41570</v>
      </c>
      <c r="B86" s="78" t="s">
        <v>69</v>
      </c>
      <c r="C86" s="78" t="s">
        <v>85</v>
      </c>
      <c r="D86" s="80">
        <v>457</v>
      </c>
    </row>
    <row r="87" spans="1:4" x14ac:dyDescent="0.3">
      <c r="A87" s="79">
        <v>41573</v>
      </c>
      <c r="B87" s="78" t="s">
        <v>69</v>
      </c>
      <c r="C87" s="78" t="s">
        <v>66</v>
      </c>
      <c r="D87" s="80">
        <v>105</v>
      </c>
    </row>
    <row r="88" spans="1:4" x14ac:dyDescent="0.3">
      <c r="A88" s="79">
        <v>41569</v>
      </c>
      <c r="B88" s="78" t="s">
        <v>63</v>
      </c>
      <c r="C88" s="78" t="s">
        <v>83</v>
      </c>
      <c r="D88" s="80">
        <v>458</v>
      </c>
    </row>
    <row r="89" spans="1:4" x14ac:dyDescent="0.3">
      <c r="A89" s="79">
        <v>41573</v>
      </c>
      <c r="B89" s="78" t="s">
        <v>67</v>
      </c>
      <c r="C89" s="78" t="s">
        <v>65</v>
      </c>
      <c r="D89" s="80">
        <v>110</v>
      </c>
    </row>
    <row r="90" spans="1:4" x14ac:dyDescent="0.3">
      <c r="A90" s="79">
        <v>41568</v>
      </c>
      <c r="B90" s="78" t="s">
        <v>63</v>
      </c>
      <c r="C90" s="78" t="s">
        <v>78</v>
      </c>
      <c r="D90" s="80">
        <v>32</v>
      </c>
    </row>
    <row r="91" spans="1:4" x14ac:dyDescent="0.3">
      <c r="A91" s="79">
        <v>41571</v>
      </c>
      <c r="B91" s="78" t="s">
        <v>63</v>
      </c>
      <c r="C91" s="78" t="s">
        <v>86</v>
      </c>
      <c r="D91" s="80">
        <v>681</v>
      </c>
    </row>
    <row r="92" spans="1:4" x14ac:dyDescent="0.3">
      <c r="A92" s="79">
        <v>41570</v>
      </c>
      <c r="B92" s="78" t="s">
        <v>67</v>
      </c>
      <c r="C92" s="78" t="s">
        <v>66</v>
      </c>
      <c r="D92" s="80">
        <v>320</v>
      </c>
    </row>
    <row r="93" spans="1:4" x14ac:dyDescent="0.3">
      <c r="A93" s="79">
        <v>41572</v>
      </c>
      <c r="B93" s="78" t="s">
        <v>67</v>
      </c>
      <c r="C93" s="78" t="s">
        <v>82</v>
      </c>
      <c r="D93" s="80">
        <v>601</v>
      </c>
    </row>
    <row r="94" spans="1:4" x14ac:dyDescent="0.3">
      <c r="A94" s="79">
        <v>41572</v>
      </c>
      <c r="B94" s="78" t="s">
        <v>69</v>
      </c>
      <c r="C94" s="78" t="s">
        <v>74</v>
      </c>
      <c r="D94" s="80">
        <v>101</v>
      </c>
    </row>
    <row r="95" spans="1:4" x14ac:dyDescent="0.3">
      <c r="A95" s="79">
        <v>41570</v>
      </c>
      <c r="B95" s="78" t="s">
        <v>67</v>
      </c>
      <c r="C95" s="78" t="s">
        <v>85</v>
      </c>
      <c r="D95" s="80">
        <v>172</v>
      </c>
    </row>
    <row r="96" spans="1:4" x14ac:dyDescent="0.3">
      <c r="A96" s="79">
        <v>41567</v>
      </c>
      <c r="B96" s="78" t="s">
        <v>63</v>
      </c>
      <c r="C96" s="78" t="s">
        <v>77</v>
      </c>
      <c r="D96" s="80">
        <v>197</v>
      </c>
    </row>
    <row r="97" spans="1:4" x14ac:dyDescent="0.3">
      <c r="A97" s="79">
        <v>41569</v>
      </c>
      <c r="B97" s="78" t="s">
        <v>63</v>
      </c>
      <c r="C97" s="78" t="s">
        <v>68</v>
      </c>
      <c r="D97" s="80">
        <v>346</v>
      </c>
    </row>
    <row r="98" spans="1:4" x14ac:dyDescent="0.3">
      <c r="A98" s="79">
        <v>41573</v>
      </c>
      <c r="B98" s="78" t="s">
        <v>63</v>
      </c>
      <c r="C98" s="78" t="s">
        <v>87</v>
      </c>
      <c r="D98" s="80">
        <v>318</v>
      </c>
    </row>
    <row r="99" spans="1:4" x14ac:dyDescent="0.3">
      <c r="A99" s="79">
        <v>41568</v>
      </c>
      <c r="B99" s="78" t="s">
        <v>63</v>
      </c>
      <c r="C99" s="78" t="s">
        <v>87</v>
      </c>
      <c r="D99" s="80">
        <v>245</v>
      </c>
    </row>
    <row r="100" spans="1:4" x14ac:dyDescent="0.3">
      <c r="A100" s="79">
        <v>41572</v>
      </c>
      <c r="B100" s="78" t="s">
        <v>69</v>
      </c>
      <c r="C100" s="78" t="s">
        <v>79</v>
      </c>
      <c r="D100" s="80">
        <v>498</v>
      </c>
    </row>
    <row r="101" spans="1:4" x14ac:dyDescent="0.3">
      <c r="A101" s="79">
        <v>41573</v>
      </c>
      <c r="B101" s="78" t="s">
        <v>69</v>
      </c>
      <c r="C101" s="78" t="s">
        <v>72</v>
      </c>
      <c r="D101" s="80">
        <v>272</v>
      </c>
    </row>
    <row r="102" spans="1:4" x14ac:dyDescent="0.3">
      <c r="A102" s="79">
        <v>41568</v>
      </c>
      <c r="B102" s="78" t="s">
        <v>69</v>
      </c>
      <c r="C102" s="78" t="s">
        <v>79</v>
      </c>
      <c r="D102" s="80">
        <v>424</v>
      </c>
    </row>
    <row r="103" spans="1:4" x14ac:dyDescent="0.3">
      <c r="A103" s="79">
        <v>41573</v>
      </c>
      <c r="B103" s="78" t="s">
        <v>67</v>
      </c>
      <c r="C103" s="78" t="s">
        <v>72</v>
      </c>
      <c r="D103" s="80">
        <v>122</v>
      </c>
    </row>
    <row r="104" spans="1:4" x14ac:dyDescent="0.3">
      <c r="A104" s="79">
        <v>41570</v>
      </c>
      <c r="B104" s="78" t="s">
        <v>69</v>
      </c>
      <c r="C104" s="78" t="s">
        <v>72</v>
      </c>
      <c r="D104" s="80">
        <v>39</v>
      </c>
    </row>
    <row r="105" spans="1:4" x14ac:dyDescent="0.3">
      <c r="A105" s="79">
        <v>41568</v>
      </c>
      <c r="B105" s="78" t="s">
        <v>69</v>
      </c>
      <c r="C105" s="78" t="s">
        <v>64</v>
      </c>
      <c r="D105" s="80">
        <v>400</v>
      </c>
    </row>
    <row r="106" spans="1:4" x14ac:dyDescent="0.3">
      <c r="A106" s="79">
        <v>41573</v>
      </c>
      <c r="B106" s="78" t="s">
        <v>63</v>
      </c>
      <c r="C106" s="78" t="s">
        <v>68</v>
      </c>
      <c r="D106" s="80">
        <v>416</v>
      </c>
    </row>
    <row r="107" spans="1:4" x14ac:dyDescent="0.3">
      <c r="A107" s="79">
        <v>41567</v>
      </c>
      <c r="B107" s="78" t="s">
        <v>69</v>
      </c>
      <c r="C107" s="78" t="s">
        <v>75</v>
      </c>
      <c r="D107" s="80">
        <v>397</v>
      </c>
    </row>
    <row r="108" spans="1:4" x14ac:dyDescent="0.3">
      <c r="A108" s="79">
        <v>41572</v>
      </c>
      <c r="B108" s="78" t="s">
        <v>67</v>
      </c>
      <c r="C108" s="78" t="s">
        <v>71</v>
      </c>
      <c r="D108" s="80">
        <v>671</v>
      </c>
    </row>
    <row r="109" spans="1:4" x14ac:dyDescent="0.3">
      <c r="A109" s="79">
        <v>41572</v>
      </c>
      <c r="B109" s="78" t="s">
        <v>69</v>
      </c>
      <c r="C109" s="78" t="s">
        <v>68</v>
      </c>
      <c r="D109" s="80">
        <v>148</v>
      </c>
    </row>
    <row r="110" spans="1:4" x14ac:dyDescent="0.3">
      <c r="A110" s="79">
        <v>41568</v>
      </c>
      <c r="B110" s="78" t="s">
        <v>67</v>
      </c>
      <c r="C110" s="78" t="s">
        <v>76</v>
      </c>
      <c r="D110" s="80">
        <v>115</v>
      </c>
    </row>
    <row r="111" spans="1:4" x14ac:dyDescent="0.3">
      <c r="A111" s="79">
        <v>41572</v>
      </c>
      <c r="B111" s="78" t="s">
        <v>67</v>
      </c>
      <c r="C111" s="78" t="s">
        <v>88</v>
      </c>
      <c r="D111" s="80">
        <v>639</v>
      </c>
    </row>
    <row r="112" spans="1:4" x14ac:dyDescent="0.3">
      <c r="A112" s="79">
        <v>41571</v>
      </c>
      <c r="B112" s="78" t="s">
        <v>69</v>
      </c>
      <c r="C112" s="78" t="s">
        <v>79</v>
      </c>
      <c r="D112" s="80">
        <v>659</v>
      </c>
    </row>
    <row r="113" spans="1:4" x14ac:dyDescent="0.3">
      <c r="A113" s="79">
        <v>41569</v>
      </c>
      <c r="B113" s="78" t="s">
        <v>63</v>
      </c>
      <c r="C113" s="78" t="s">
        <v>66</v>
      </c>
      <c r="D113" s="80">
        <v>36</v>
      </c>
    </row>
    <row r="114" spans="1:4" x14ac:dyDescent="0.3">
      <c r="A114" s="79">
        <v>41568</v>
      </c>
      <c r="B114" s="78" t="s">
        <v>67</v>
      </c>
      <c r="C114" s="78" t="s">
        <v>76</v>
      </c>
      <c r="D114" s="80">
        <v>102</v>
      </c>
    </row>
    <row r="115" spans="1:4" x14ac:dyDescent="0.3">
      <c r="A115" s="79">
        <v>41569</v>
      </c>
      <c r="B115" s="78" t="s">
        <v>63</v>
      </c>
      <c r="C115" s="78" t="s">
        <v>74</v>
      </c>
      <c r="D115" s="80">
        <v>413</v>
      </c>
    </row>
    <row r="116" spans="1:4" x14ac:dyDescent="0.3">
      <c r="A116" s="79">
        <v>41572</v>
      </c>
      <c r="B116" s="78" t="s">
        <v>63</v>
      </c>
      <c r="C116" s="78" t="s">
        <v>78</v>
      </c>
      <c r="D116" s="80">
        <v>166</v>
      </c>
    </row>
    <row r="117" spans="1:4" x14ac:dyDescent="0.3">
      <c r="A117" s="79">
        <v>41569</v>
      </c>
      <c r="B117" s="78" t="s">
        <v>63</v>
      </c>
      <c r="C117" s="78" t="s">
        <v>70</v>
      </c>
      <c r="D117" s="80">
        <v>97</v>
      </c>
    </row>
    <row r="118" spans="1:4" x14ac:dyDescent="0.3">
      <c r="A118" s="79">
        <v>41573</v>
      </c>
      <c r="B118" s="78" t="s">
        <v>63</v>
      </c>
      <c r="C118" s="78" t="s">
        <v>83</v>
      </c>
      <c r="D118" s="80">
        <v>127</v>
      </c>
    </row>
    <row r="119" spans="1:4" x14ac:dyDescent="0.3">
      <c r="A119" s="79">
        <v>41567</v>
      </c>
      <c r="B119" s="78" t="s">
        <v>67</v>
      </c>
      <c r="C119" s="78" t="s">
        <v>89</v>
      </c>
      <c r="D119" s="80">
        <v>60</v>
      </c>
    </row>
    <row r="120" spans="1:4" x14ac:dyDescent="0.3">
      <c r="A120" s="79">
        <v>41569</v>
      </c>
      <c r="B120" s="78" t="s">
        <v>69</v>
      </c>
      <c r="C120" s="78" t="s">
        <v>74</v>
      </c>
      <c r="D120" s="80">
        <v>496</v>
      </c>
    </row>
    <row r="121" spans="1:4" x14ac:dyDescent="0.3">
      <c r="A121" s="79">
        <v>41570</v>
      </c>
      <c r="B121" s="78" t="s">
        <v>67</v>
      </c>
      <c r="C121" s="78" t="s">
        <v>83</v>
      </c>
      <c r="D121" s="80">
        <v>204</v>
      </c>
    </row>
    <row r="122" spans="1:4" x14ac:dyDescent="0.3">
      <c r="A122" s="79">
        <v>41573</v>
      </c>
      <c r="B122" s="78" t="s">
        <v>67</v>
      </c>
      <c r="C122" s="78" t="s">
        <v>68</v>
      </c>
      <c r="D122" s="80">
        <v>489</v>
      </c>
    </row>
    <row r="123" spans="1:4" x14ac:dyDescent="0.3">
      <c r="A123" s="79">
        <v>41567</v>
      </c>
      <c r="B123" s="78" t="s">
        <v>63</v>
      </c>
      <c r="C123" s="78" t="s">
        <v>84</v>
      </c>
      <c r="D123" s="80">
        <v>266</v>
      </c>
    </row>
    <row r="124" spans="1:4" x14ac:dyDescent="0.3">
      <c r="A124" s="79">
        <v>41567</v>
      </c>
      <c r="B124" s="78" t="s">
        <v>67</v>
      </c>
      <c r="C124" s="78" t="s">
        <v>79</v>
      </c>
      <c r="D124" s="80">
        <v>364</v>
      </c>
    </row>
    <row r="125" spans="1:4" x14ac:dyDescent="0.3">
      <c r="A125" s="79">
        <v>41567</v>
      </c>
      <c r="B125" s="78" t="s">
        <v>67</v>
      </c>
      <c r="C125" s="78" t="s">
        <v>66</v>
      </c>
      <c r="D125" s="80">
        <v>579</v>
      </c>
    </row>
    <row r="126" spans="1:4" x14ac:dyDescent="0.3">
      <c r="A126" s="79">
        <v>41568</v>
      </c>
      <c r="B126" s="78" t="s">
        <v>63</v>
      </c>
      <c r="C126" s="78" t="s">
        <v>84</v>
      </c>
      <c r="D126" s="80">
        <v>587</v>
      </c>
    </row>
    <row r="127" spans="1:4" x14ac:dyDescent="0.3">
      <c r="A127" s="79">
        <v>41573</v>
      </c>
      <c r="B127" s="78" t="s">
        <v>63</v>
      </c>
      <c r="C127" s="78" t="s">
        <v>89</v>
      </c>
      <c r="D127" s="80">
        <v>543</v>
      </c>
    </row>
    <row r="128" spans="1:4" x14ac:dyDescent="0.3">
      <c r="A128" s="79">
        <v>41569</v>
      </c>
      <c r="B128" s="78" t="s">
        <v>67</v>
      </c>
      <c r="C128" s="78" t="s">
        <v>74</v>
      </c>
      <c r="D128" s="80">
        <v>644</v>
      </c>
    </row>
    <row r="129" spans="1:4" x14ac:dyDescent="0.3">
      <c r="A129" s="79">
        <v>41567</v>
      </c>
      <c r="B129" s="78" t="s">
        <v>63</v>
      </c>
      <c r="C129" s="78" t="s">
        <v>68</v>
      </c>
      <c r="D129" s="80">
        <v>564</v>
      </c>
    </row>
    <row r="130" spans="1:4" x14ac:dyDescent="0.3">
      <c r="A130" s="79">
        <v>41569</v>
      </c>
      <c r="B130" s="78" t="s">
        <v>69</v>
      </c>
      <c r="C130" s="78" t="s">
        <v>84</v>
      </c>
      <c r="D130" s="80">
        <v>149</v>
      </c>
    </row>
    <row r="131" spans="1:4" x14ac:dyDescent="0.3">
      <c r="A131" s="79">
        <v>41570</v>
      </c>
      <c r="B131" s="78" t="s">
        <v>69</v>
      </c>
      <c r="C131" s="78" t="s">
        <v>66</v>
      </c>
      <c r="D131" s="80">
        <v>201</v>
      </c>
    </row>
    <row r="132" spans="1:4" x14ac:dyDescent="0.3">
      <c r="A132" s="79">
        <v>41572</v>
      </c>
      <c r="B132" s="78" t="s">
        <v>63</v>
      </c>
      <c r="C132" s="78" t="s">
        <v>89</v>
      </c>
      <c r="D132" s="80">
        <v>51</v>
      </c>
    </row>
    <row r="133" spans="1:4" x14ac:dyDescent="0.3">
      <c r="A133" s="79">
        <v>41570</v>
      </c>
      <c r="B133" s="78" t="s">
        <v>63</v>
      </c>
      <c r="C133" s="78" t="s">
        <v>71</v>
      </c>
      <c r="D133" s="80">
        <v>195</v>
      </c>
    </row>
    <row r="134" spans="1:4" x14ac:dyDescent="0.3">
      <c r="A134" s="79">
        <v>41573</v>
      </c>
      <c r="B134" s="78" t="s">
        <v>67</v>
      </c>
      <c r="C134" s="78" t="s">
        <v>70</v>
      </c>
      <c r="D134" s="80">
        <v>660</v>
      </c>
    </row>
    <row r="135" spans="1:4" x14ac:dyDescent="0.3">
      <c r="A135" s="79">
        <v>41568</v>
      </c>
      <c r="B135" s="78" t="s">
        <v>67</v>
      </c>
      <c r="C135" s="78" t="s">
        <v>71</v>
      </c>
      <c r="D135" s="80">
        <v>523</v>
      </c>
    </row>
    <row r="136" spans="1:4" x14ac:dyDescent="0.3">
      <c r="A136" s="79">
        <v>41570</v>
      </c>
      <c r="B136" s="78" t="s">
        <v>63</v>
      </c>
      <c r="C136" s="78" t="s">
        <v>79</v>
      </c>
      <c r="D136" s="80">
        <v>649</v>
      </c>
    </row>
    <row r="137" spans="1:4" x14ac:dyDescent="0.3">
      <c r="A137" s="79">
        <v>41572</v>
      </c>
      <c r="B137" s="78" t="s">
        <v>69</v>
      </c>
      <c r="C137" s="78" t="s">
        <v>65</v>
      </c>
      <c r="D137" s="80">
        <v>409</v>
      </c>
    </row>
    <row r="138" spans="1:4" x14ac:dyDescent="0.3">
      <c r="A138" s="79">
        <v>41567</v>
      </c>
      <c r="B138" s="78" t="s">
        <v>67</v>
      </c>
      <c r="C138" s="78" t="s">
        <v>75</v>
      </c>
      <c r="D138" s="80">
        <v>556</v>
      </c>
    </row>
    <row r="139" spans="1:4" x14ac:dyDescent="0.3">
      <c r="A139" s="79">
        <v>41569</v>
      </c>
      <c r="B139" s="78" t="s">
        <v>67</v>
      </c>
      <c r="C139" s="78" t="s">
        <v>70</v>
      </c>
      <c r="D139" s="80">
        <v>565</v>
      </c>
    </row>
    <row r="140" spans="1:4" x14ac:dyDescent="0.3">
      <c r="A140" s="79">
        <v>41567</v>
      </c>
      <c r="B140" s="78" t="s">
        <v>69</v>
      </c>
      <c r="C140" s="78" t="s">
        <v>65</v>
      </c>
      <c r="D140" s="80">
        <v>357</v>
      </c>
    </row>
    <row r="141" spans="1:4" x14ac:dyDescent="0.3">
      <c r="A141" s="79">
        <v>41572</v>
      </c>
      <c r="B141" s="78" t="s">
        <v>63</v>
      </c>
      <c r="C141" s="78" t="s">
        <v>73</v>
      </c>
      <c r="D141" s="80">
        <v>219</v>
      </c>
    </row>
    <row r="142" spans="1:4" x14ac:dyDescent="0.3">
      <c r="A142" s="79">
        <v>41572</v>
      </c>
      <c r="B142" s="78" t="s">
        <v>67</v>
      </c>
      <c r="C142" s="78" t="s">
        <v>82</v>
      </c>
      <c r="D142" s="80">
        <v>327</v>
      </c>
    </row>
    <row r="143" spans="1:4" x14ac:dyDescent="0.3">
      <c r="A143" s="79">
        <v>41567</v>
      </c>
      <c r="B143" s="78" t="s">
        <v>69</v>
      </c>
      <c r="C143" s="78" t="s">
        <v>75</v>
      </c>
      <c r="D143" s="80">
        <v>666</v>
      </c>
    </row>
    <row r="144" spans="1:4" x14ac:dyDescent="0.3">
      <c r="A144" s="79">
        <v>41567</v>
      </c>
      <c r="B144" s="78" t="s">
        <v>67</v>
      </c>
      <c r="C144" s="78" t="s">
        <v>82</v>
      </c>
      <c r="D144" s="80">
        <v>290</v>
      </c>
    </row>
    <row r="145" spans="1:4" x14ac:dyDescent="0.3">
      <c r="A145" s="79">
        <v>41571</v>
      </c>
      <c r="B145" s="78" t="s">
        <v>67</v>
      </c>
      <c r="C145" s="78" t="s">
        <v>65</v>
      </c>
      <c r="D145" s="80">
        <v>64</v>
      </c>
    </row>
    <row r="146" spans="1:4" x14ac:dyDescent="0.3">
      <c r="A146" s="79">
        <v>41571</v>
      </c>
      <c r="B146" s="78" t="s">
        <v>63</v>
      </c>
      <c r="C146" s="78" t="s">
        <v>78</v>
      </c>
      <c r="D146" s="80">
        <v>373</v>
      </c>
    </row>
    <row r="147" spans="1:4" x14ac:dyDescent="0.3">
      <c r="A147" s="79">
        <v>41573</v>
      </c>
      <c r="B147" s="78" t="s">
        <v>67</v>
      </c>
      <c r="C147" s="78" t="s">
        <v>77</v>
      </c>
      <c r="D147" s="80">
        <v>249</v>
      </c>
    </row>
    <row r="148" spans="1:4" x14ac:dyDescent="0.3">
      <c r="A148" s="79">
        <v>41567</v>
      </c>
      <c r="B148" s="78" t="s">
        <v>67</v>
      </c>
      <c r="C148" s="78" t="s">
        <v>90</v>
      </c>
      <c r="D148" s="80">
        <v>237</v>
      </c>
    </row>
    <row r="149" spans="1:4" x14ac:dyDescent="0.3">
      <c r="A149" s="79">
        <v>41569</v>
      </c>
      <c r="B149" s="78" t="s">
        <v>63</v>
      </c>
      <c r="C149" s="78" t="s">
        <v>78</v>
      </c>
      <c r="D149" s="80">
        <v>138</v>
      </c>
    </row>
    <row r="150" spans="1:4" x14ac:dyDescent="0.3">
      <c r="A150" s="79">
        <v>41573</v>
      </c>
      <c r="B150" s="78" t="s">
        <v>63</v>
      </c>
      <c r="C150" s="78" t="s">
        <v>84</v>
      </c>
      <c r="D150" s="80">
        <v>324</v>
      </c>
    </row>
    <row r="151" spans="1:4" x14ac:dyDescent="0.3">
      <c r="A151" s="79">
        <v>41569</v>
      </c>
      <c r="B151" s="78" t="s">
        <v>69</v>
      </c>
      <c r="C151" s="78" t="s">
        <v>79</v>
      </c>
      <c r="D151" s="80">
        <v>633</v>
      </c>
    </row>
    <row r="152" spans="1:4" x14ac:dyDescent="0.3">
      <c r="A152" s="79">
        <v>41573</v>
      </c>
      <c r="B152" s="78" t="s">
        <v>69</v>
      </c>
      <c r="C152" s="78" t="s">
        <v>72</v>
      </c>
      <c r="D152" s="80">
        <v>240</v>
      </c>
    </row>
    <row r="153" spans="1:4" x14ac:dyDescent="0.3">
      <c r="A153" s="79">
        <v>41567</v>
      </c>
      <c r="B153" s="78" t="s">
        <v>69</v>
      </c>
      <c r="C153" s="78" t="s">
        <v>77</v>
      </c>
      <c r="D153" s="80">
        <v>615</v>
      </c>
    </row>
    <row r="154" spans="1:4" x14ac:dyDescent="0.3">
      <c r="A154" s="79">
        <v>41569</v>
      </c>
      <c r="B154" s="78" t="s">
        <v>69</v>
      </c>
      <c r="C154" s="78" t="s">
        <v>71</v>
      </c>
      <c r="D154" s="80">
        <v>180</v>
      </c>
    </row>
    <row r="155" spans="1:4" x14ac:dyDescent="0.3">
      <c r="A155" s="79">
        <v>41572</v>
      </c>
      <c r="B155" s="78" t="s">
        <v>63</v>
      </c>
      <c r="C155" s="78" t="s">
        <v>81</v>
      </c>
      <c r="D155" s="80">
        <v>415</v>
      </c>
    </row>
    <row r="156" spans="1:4" x14ac:dyDescent="0.3">
      <c r="A156" s="79">
        <v>41569</v>
      </c>
      <c r="B156" s="78" t="s">
        <v>63</v>
      </c>
      <c r="C156" s="78" t="s">
        <v>76</v>
      </c>
      <c r="D156" s="80">
        <v>305</v>
      </c>
    </row>
    <row r="157" spans="1:4" x14ac:dyDescent="0.3">
      <c r="A157" s="79">
        <v>41572</v>
      </c>
      <c r="B157" s="78" t="s">
        <v>67</v>
      </c>
      <c r="C157" s="78" t="s">
        <v>79</v>
      </c>
      <c r="D157" s="80">
        <v>657</v>
      </c>
    </row>
    <row r="158" spans="1:4" x14ac:dyDescent="0.3">
      <c r="A158" s="79">
        <v>41570</v>
      </c>
      <c r="B158" s="78" t="s">
        <v>63</v>
      </c>
      <c r="C158" s="78" t="s">
        <v>79</v>
      </c>
      <c r="D158" s="80">
        <v>474</v>
      </c>
    </row>
    <row r="159" spans="1:4" x14ac:dyDescent="0.3">
      <c r="A159" s="79">
        <v>41569</v>
      </c>
      <c r="B159" s="78" t="s">
        <v>63</v>
      </c>
      <c r="C159" s="78" t="s">
        <v>78</v>
      </c>
      <c r="D159" s="80">
        <v>611</v>
      </c>
    </row>
    <row r="160" spans="1:4" x14ac:dyDescent="0.3">
      <c r="A160" s="79">
        <v>41568</v>
      </c>
      <c r="B160" s="78" t="s">
        <v>63</v>
      </c>
      <c r="C160" s="78" t="s">
        <v>90</v>
      </c>
      <c r="D160" s="80">
        <v>682</v>
      </c>
    </row>
    <row r="161" spans="1:4" x14ac:dyDescent="0.3">
      <c r="A161" s="79">
        <v>41571</v>
      </c>
      <c r="B161" s="78" t="s">
        <v>67</v>
      </c>
      <c r="C161" s="78" t="s">
        <v>76</v>
      </c>
      <c r="D161" s="80">
        <v>398</v>
      </c>
    </row>
    <row r="162" spans="1:4" x14ac:dyDescent="0.3">
      <c r="A162" s="79">
        <v>41570</v>
      </c>
      <c r="B162" s="78" t="s">
        <v>67</v>
      </c>
      <c r="C162" s="78" t="s">
        <v>78</v>
      </c>
      <c r="D162" s="80">
        <v>74</v>
      </c>
    </row>
    <row r="163" spans="1:4" x14ac:dyDescent="0.3">
      <c r="A163" s="79">
        <v>41571</v>
      </c>
      <c r="B163" s="78" t="s">
        <v>63</v>
      </c>
      <c r="C163" s="78" t="s">
        <v>72</v>
      </c>
      <c r="D163" s="80">
        <v>243</v>
      </c>
    </row>
    <row r="164" spans="1:4" x14ac:dyDescent="0.3">
      <c r="A164" s="79">
        <v>41572</v>
      </c>
      <c r="B164" s="78" t="s">
        <v>63</v>
      </c>
      <c r="C164" s="78" t="s">
        <v>66</v>
      </c>
      <c r="D164" s="80">
        <v>151</v>
      </c>
    </row>
    <row r="165" spans="1:4" x14ac:dyDescent="0.3">
      <c r="A165" s="79">
        <v>41572</v>
      </c>
      <c r="B165" s="78" t="s">
        <v>67</v>
      </c>
      <c r="C165" s="78" t="s">
        <v>79</v>
      </c>
      <c r="D165" s="80">
        <v>174</v>
      </c>
    </row>
    <row r="166" spans="1:4" x14ac:dyDescent="0.3">
      <c r="A166" s="79">
        <v>41571</v>
      </c>
      <c r="B166" s="78" t="s">
        <v>67</v>
      </c>
      <c r="C166" s="78" t="s">
        <v>82</v>
      </c>
      <c r="D166" s="80">
        <v>304</v>
      </c>
    </row>
    <row r="167" spans="1:4" x14ac:dyDescent="0.3">
      <c r="A167" s="79">
        <v>41567</v>
      </c>
      <c r="B167" s="78" t="s">
        <v>63</v>
      </c>
      <c r="C167" s="78" t="s">
        <v>80</v>
      </c>
      <c r="D167" s="80">
        <v>457</v>
      </c>
    </row>
    <row r="168" spans="1:4" x14ac:dyDescent="0.3">
      <c r="A168" s="79">
        <v>41567</v>
      </c>
      <c r="B168" s="78" t="s">
        <v>69</v>
      </c>
      <c r="C168" s="78" t="s">
        <v>68</v>
      </c>
      <c r="D168" s="80">
        <v>315</v>
      </c>
    </row>
    <row r="169" spans="1:4" x14ac:dyDescent="0.3">
      <c r="A169" s="79">
        <v>41570</v>
      </c>
      <c r="B169" s="78" t="s">
        <v>67</v>
      </c>
      <c r="C169" s="78" t="s">
        <v>70</v>
      </c>
      <c r="D169" s="80">
        <v>295</v>
      </c>
    </row>
    <row r="170" spans="1:4" x14ac:dyDescent="0.3">
      <c r="A170" s="79">
        <v>41569</v>
      </c>
      <c r="B170" s="78" t="s">
        <v>67</v>
      </c>
      <c r="C170" s="78" t="s">
        <v>74</v>
      </c>
      <c r="D170" s="80">
        <v>534</v>
      </c>
    </row>
    <row r="171" spans="1:4" x14ac:dyDescent="0.3">
      <c r="A171" s="79">
        <v>41570</v>
      </c>
      <c r="B171" s="78" t="s">
        <v>63</v>
      </c>
      <c r="C171" s="78" t="s">
        <v>64</v>
      </c>
      <c r="D171" s="80">
        <v>598</v>
      </c>
    </row>
    <row r="172" spans="1:4" x14ac:dyDescent="0.3">
      <c r="A172" s="79">
        <v>41571</v>
      </c>
      <c r="B172" s="78" t="s">
        <v>69</v>
      </c>
      <c r="C172" s="78" t="s">
        <v>72</v>
      </c>
      <c r="D172" s="80">
        <v>14</v>
      </c>
    </row>
    <row r="173" spans="1:4" x14ac:dyDescent="0.3">
      <c r="A173" s="79">
        <v>41569</v>
      </c>
      <c r="B173" s="78" t="s">
        <v>69</v>
      </c>
      <c r="C173" s="78" t="s">
        <v>79</v>
      </c>
      <c r="D173" s="80">
        <v>26</v>
      </c>
    </row>
    <row r="174" spans="1:4" x14ac:dyDescent="0.3">
      <c r="A174" s="79">
        <v>41570</v>
      </c>
      <c r="B174" s="78" t="s">
        <v>63</v>
      </c>
      <c r="C174" s="78" t="s">
        <v>88</v>
      </c>
      <c r="D174" s="80">
        <v>108</v>
      </c>
    </row>
    <row r="175" spans="1:4" x14ac:dyDescent="0.3">
      <c r="A175" s="79">
        <v>41569</v>
      </c>
      <c r="B175" s="78" t="s">
        <v>63</v>
      </c>
      <c r="C175" s="78" t="s">
        <v>89</v>
      </c>
      <c r="D175" s="80">
        <v>114</v>
      </c>
    </row>
    <row r="176" spans="1:4" x14ac:dyDescent="0.3">
      <c r="A176" s="79">
        <v>41573</v>
      </c>
      <c r="B176" s="78" t="s">
        <v>67</v>
      </c>
      <c r="C176" s="78" t="s">
        <v>85</v>
      </c>
      <c r="D176" s="80">
        <v>684</v>
      </c>
    </row>
    <row r="177" spans="1:4" x14ac:dyDescent="0.3">
      <c r="A177" s="79">
        <v>41572</v>
      </c>
      <c r="B177" s="78" t="s">
        <v>63</v>
      </c>
      <c r="C177" s="78" t="s">
        <v>90</v>
      </c>
      <c r="D177" s="80">
        <v>258</v>
      </c>
    </row>
    <row r="178" spans="1:4" x14ac:dyDescent="0.3">
      <c r="A178" s="79">
        <v>41568</v>
      </c>
      <c r="B178" s="78" t="s">
        <v>67</v>
      </c>
      <c r="C178" s="78" t="s">
        <v>87</v>
      </c>
      <c r="D178" s="80">
        <v>439</v>
      </c>
    </row>
    <row r="179" spans="1:4" x14ac:dyDescent="0.3">
      <c r="A179" s="79">
        <v>41573</v>
      </c>
      <c r="B179" s="78" t="s">
        <v>67</v>
      </c>
      <c r="C179" s="78" t="s">
        <v>68</v>
      </c>
      <c r="D179" s="80">
        <v>583</v>
      </c>
    </row>
    <row r="180" spans="1:4" x14ac:dyDescent="0.3">
      <c r="A180" s="79">
        <v>41572</v>
      </c>
      <c r="B180" s="78" t="s">
        <v>63</v>
      </c>
      <c r="C180" s="78" t="s">
        <v>72</v>
      </c>
      <c r="D180" s="80">
        <v>664</v>
      </c>
    </row>
    <row r="181" spans="1:4" x14ac:dyDescent="0.3">
      <c r="A181" s="79">
        <v>41571</v>
      </c>
      <c r="B181" s="78" t="s">
        <v>63</v>
      </c>
      <c r="C181" s="78" t="s">
        <v>65</v>
      </c>
      <c r="D181" s="80">
        <v>339</v>
      </c>
    </row>
    <row r="182" spans="1:4" x14ac:dyDescent="0.3">
      <c r="A182" s="79">
        <v>41571</v>
      </c>
      <c r="B182" s="78" t="s">
        <v>67</v>
      </c>
      <c r="C182" s="78" t="s">
        <v>82</v>
      </c>
      <c r="D182" s="80">
        <v>164</v>
      </c>
    </row>
    <row r="183" spans="1:4" x14ac:dyDescent="0.3">
      <c r="A183" s="79">
        <v>41569</v>
      </c>
      <c r="B183" s="78" t="s">
        <v>69</v>
      </c>
      <c r="C183" s="78" t="s">
        <v>65</v>
      </c>
      <c r="D183" s="80">
        <v>671</v>
      </c>
    </row>
    <row r="184" spans="1:4" x14ac:dyDescent="0.3">
      <c r="A184" s="79">
        <v>41570</v>
      </c>
      <c r="B184" s="78" t="s">
        <v>69</v>
      </c>
      <c r="C184" s="78" t="s">
        <v>74</v>
      </c>
      <c r="D184" s="80">
        <v>241</v>
      </c>
    </row>
    <row r="185" spans="1:4" x14ac:dyDescent="0.3">
      <c r="A185" s="79">
        <v>41571</v>
      </c>
      <c r="B185" s="78" t="s">
        <v>63</v>
      </c>
      <c r="C185" s="78" t="s">
        <v>74</v>
      </c>
      <c r="D185" s="80">
        <v>257</v>
      </c>
    </row>
    <row r="186" spans="1:4" x14ac:dyDescent="0.3">
      <c r="A186" s="79">
        <v>41570</v>
      </c>
      <c r="B186" s="78" t="s">
        <v>67</v>
      </c>
      <c r="C186" s="78" t="s">
        <v>90</v>
      </c>
      <c r="D186" s="80">
        <v>264</v>
      </c>
    </row>
    <row r="187" spans="1:4" x14ac:dyDescent="0.3">
      <c r="A187" s="79">
        <v>41573</v>
      </c>
      <c r="B187" s="78" t="s">
        <v>63</v>
      </c>
      <c r="C187" s="78" t="s">
        <v>74</v>
      </c>
      <c r="D187" s="80">
        <v>471</v>
      </c>
    </row>
    <row r="188" spans="1:4" x14ac:dyDescent="0.3">
      <c r="A188" s="79">
        <v>41568</v>
      </c>
      <c r="B188" s="78" t="s">
        <v>67</v>
      </c>
      <c r="C188" s="78" t="s">
        <v>81</v>
      </c>
      <c r="D188" s="80">
        <v>40</v>
      </c>
    </row>
    <row r="189" spans="1:4" x14ac:dyDescent="0.3">
      <c r="A189" s="79">
        <v>41569</v>
      </c>
      <c r="B189" s="78" t="s">
        <v>63</v>
      </c>
      <c r="C189" s="78" t="s">
        <v>84</v>
      </c>
      <c r="D189" s="80">
        <v>594</v>
      </c>
    </row>
    <row r="190" spans="1:4" x14ac:dyDescent="0.3">
      <c r="A190" s="79">
        <v>41568</v>
      </c>
      <c r="B190" s="78" t="s">
        <v>63</v>
      </c>
      <c r="C190" s="78" t="s">
        <v>70</v>
      </c>
      <c r="D190" s="80">
        <v>605</v>
      </c>
    </row>
    <row r="191" spans="1:4" x14ac:dyDescent="0.3">
      <c r="A191" s="79">
        <v>41571</v>
      </c>
      <c r="B191" s="78" t="s">
        <v>63</v>
      </c>
      <c r="C191" s="78" t="s">
        <v>76</v>
      </c>
      <c r="D191" s="80">
        <v>409</v>
      </c>
    </row>
    <row r="192" spans="1:4" x14ac:dyDescent="0.3">
      <c r="A192" s="79">
        <v>41568</v>
      </c>
      <c r="B192" s="78" t="s">
        <v>67</v>
      </c>
      <c r="C192" s="78" t="s">
        <v>81</v>
      </c>
      <c r="D192" s="80">
        <v>250</v>
      </c>
    </row>
    <row r="193" spans="1:4" x14ac:dyDescent="0.3">
      <c r="A193" s="79">
        <v>41569</v>
      </c>
      <c r="B193" s="78" t="s">
        <v>69</v>
      </c>
      <c r="C193" s="78" t="s">
        <v>81</v>
      </c>
      <c r="D193" s="80">
        <v>481</v>
      </c>
    </row>
    <row r="194" spans="1:4" x14ac:dyDescent="0.3">
      <c r="A194" s="79">
        <v>41572</v>
      </c>
      <c r="B194" s="78" t="s">
        <v>63</v>
      </c>
      <c r="C194" s="78" t="s">
        <v>83</v>
      </c>
      <c r="D194" s="80">
        <v>529</v>
      </c>
    </row>
    <row r="195" spans="1:4" x14ac:dyDescent="0.3">
      <c r="A195" s="79">
        <v>41571</v>
      </c>
      <c r="B195" s="78" t="s">
        <v>69</v>
      </c>
      <c r="C195" s="78" t="s">
        <v>80</v>
      </c>
      <c r="D195" s="80">
        <v>56</v>
      </c>
    </row>
    <row r="196" spans="1:4" x14ac:dyDescent="0.3">
      <c r="A196" s="79">
        <v>41570</v>
      </c>
      <c r="B196" s="78" t="s">
        <v>63</v>
      </c>
      <c r="C196" s="78" t="s">
        <v>68</v>
      </c>
      <c r="D196" s="80">
        <v>82</v>
      </c>
    </row>
    <row r="197" spans="1:4" x14ac:dyDescent="0.3">
      <c r="A197" s="79">
        <v>41573</v>
      </c>
      <c r="B197" s="78" t="s">
        <v>63</v>
      </c>
      <c r="C197" s="78" t="s">
        <v>72</v>
      </c>
      <c r="D197" s="80">
        <v>575</v>
      </c>
    </row>
    <row r="198" spans="1:4" x14ac:dyDescent="0.3">
      <c r="A198" s="79">
        <v>41569</v>
      </c>
      <c r="B198" s="78" t="s">
        <v>63</v>
      </c>
      <c r="C198" s="78" t="s">
        <v>79</v>
      </c>
      <c r="D198" s="80">
        <v>665</v>
      </c>
    </row>
    <row r="199" spans="1:4" x14ac:dyDescent="0.3">
      <c r="A199" s="79">
        <v>41572</v>
      </c>
      <c r="B199" s="78" t="s">
        <v>63</v>
      </c>
      <c r="C199" s="78" t="s">
        <v>79</v>
      </c>
      <c r="D199" s="80">
        <v>490</v>
      </c>
    </row>
    <row r="200" spans="1:4" x14ac:dyDescent="0.3">
      <c r="A200" s="79">
        <v>41570</v>
      </c>
      <c r="B200" s="78" t="s">
        <v>69</v>
      </c>
      <c r="C200" s="78" t="s">
        <v>74</v>
      </c>
      <c r="D200" s="80">
        <v>630</v>
      </c>
    </row>
    <row r="201" spans="1:4" x14ac:dyDescent="0.3">
      <c r="A201" s="79">
        <v>41572</v>
      </c>
      <c r="B201" s="78" t="s">
        <v>69</v>
      </c>
      <c r="C201" s="78" t="s">
        <v>65</v>
      </c>
      <c r="D201" s="80">
        <v>352</v>
      </c>
    </row>
    <row r="202" spans="1:4" x14ac:dyDescent="0.3">
      <c r="A202" s="79">
        <v>41570</v>
      </c>
      <c r="B202" s="78" t="s">
        <v>69</v>
      </c>
      <c r="C202" s="78" t="s">
        <v>86</v>
      </c>
      <c r="D202" s="80">
        <v>269</v>
      </c>
    </row>
    <row r="203" spans="1:4" x14ac:dyDescent="0.3">
      <c r="A203" s="79">
        <v>41569</v>
      </c>
      <c r="B203" s="78" t="s">
        <v>69</v>
      </c>
      <c r="C203" s="78" t="s">
        <v>64</v>
      </c>
      <c r="D203" s="80">
        <v>200</v>
      </c>
    </row>
    <row r="204" spans="1:4" x14ac:dyDescent="0.3">
      <c r="A204" s="79">
        <v>41570</v>
      </c>
      <c r="B204" s="78" t="s">
        <v>63</v>
      </c>
      <c r="C204" s="78" t="s">
        <v>78</v>
      </c>
      <c r="D204" s="80">
        <v>329</v>
      </c>
    </row>
    <row r="205" spans="1:4" x14ac:dyDescent="0.3">
      <c r="A205" s="79">
        <v>41571</v>
      </c>
      <c r="B205" s="78" t="s">
        <v>63</v>
      </c>
      <c r="C205" s="78" t="s">
        <v>70</v>
      </c>
      <c r="D205" s="80">
        <v>605</v>
      </c>
    </row>
    <row r="206" spans="1:4" x14ac:dyDescent="0.3">
      <c r="A206" s="79">
        <v>41569</v>
      </c>
      <c r="B206" s="78" t="s">
        <v>63</v>
      </c>
      <c r="C206" s="78" t="s">
        <v>84</v>
      </c>
      <c r="D206" s="80">
        <v>340</v>
      </c>
    </row>
    <row r="207" spans="1:4" x14ac:dyDescent="0.3">
      <c r="A207" s="79">
        <v>41569</v>
      </c>
      <c r="B207" s="78" t="s">
        <v>63</v>
      </c>
      <c r="C207" s="78" t="s">
        <v>78</v>
      </c>
      <c r="D207" s="80">
        <v>456</v>
      </c>
    </row>
    <row r="208" spans="1:4" x14ac:dyDescent="0.3">
      <c r="A208" s="79">
        <v>41569</v>
      </c>
      <c r="B208" s="78" t="s">
        <v>63</v>
      </c>
      <c r="C208" s="78" t="s">
        <v>83</v>
      </c>
      <c r="D208" s="80">
        <v>368</v>
      </c>
    </row>
    <row r="209" spans="1:4" x14ac:dyDescent="0.3">
      <c r="A209" s="79">
        <v>41569</v>
      </c>
      <c r="B209" s="78" t="s">
        <v>67</v>
      </c>
      <c r="C209" s="78" t="s">
        <v>72</v>
      </c>
      <c r="D209" s="80">
        <v>510</v>
      </c>
    </row>
    <row r="210" spans="1:4" x14ac:dyDescent="0.3">
      <c r="A210" s="79">
        <v>41568</v>
      </c>
      <c r="B210" s="78" t="s">
        <v>67</v>
      </c>
      <c r="C210" s="78" t="s">
        <v>66</v>
      </c>
      <c r="D210" s="80">
        <v>63</v>
      </c>
    </row>
    <row r="211" spans="1:4" x14ac:dyDescent="0.3">
      <c r="A211" s="79">
        <v>41570</v>
      </c>
      <c r="B211" s="78" t="s">
        <v>67</v>
      </c>
      <c r="C211" s="78" t="s">
        <v>65</v>
      </c>
      <c r="D211" s="80">
        <v>359</v>
      </c>
    </row>
    <row r="212" spans="1:4" x14ac:dyDescent="0.3">
      <c r="A212" s="79">
        <v>41567</v>
      </c>
      <c r="B212" s="78" t="s">
        <v>63</v>
      </c>
      <c r="C212" s="78" t="s">
        <v>66</v>
      </c>
      <c r="D212" s="80">
        <v>138</v>
      </c>
    </row>
    <row r="213" spans="1:4" x14ac:dyDescent="0.3">
      <c r="A213" s="79">
        <v>41573</v>
      </c>
      <c r="B213" s="78" t="s">
        <v>67</v>
      </c>
      <c r="C213" s="78" t="s">
        <v>89</v>
      </c>
      <c r="D213" s="80">
        <v>35</v>
      </c>
    </row>
    <row r="214" spans="1:4" x14ac:dyDescent="0.3">
      <c r="A214" s="79">
        <v>41573</v>
      </c>
      <c r="B214" s="78" t="s">
        <v>69</v>
      </c>
      <c r="C214" s="78" t="s">
        <v>71</v>
      </c>
      <c r="D214" s="80">
        <v>386</v>
      </c>
    </row>
    <row r="215" spans="1:4" x14ac:dyDescent="0.3">
      <c r="A215" s="79">
        <v>41573</v>
      </c>
      <c r="B215" s="78" t="s">
        <v>69</v>
      </c>
      <c r="C215" s="78" t="s">
        <v>74</v>
      </c>
      <c r="D215" s="80">
        <v>73</v>
      </c>
    </row>
    <row r="216" spans="1:4" x14ac:dyDescent="0.3">
      <c r="A216" s="79">
        <v>41572</v>
      </c>
      <c r="B216" s="78" t="s">
        <v>67</v>
      </c>
      <c r="C216" s="78" t="s">
        <v>74</v>
      </c>
      <c r="D216" s="80">
        <v>389</v>
      </c>
    </row>
    <row r="217" spans="1:4" x14ac:dyDescent="0.3">
      <c r="A217" s="79">
        <v>41573</v>
      </c>
      <c r="B217" s="78" t="s">
        <v>63</v>
      </c>
      <c r="C217" s="78" t="s">
        <v>79</v>
      </c>
      <c r="D217" s="80">
        <v>321</v>
      </c>
    </row>
    <row r="218" spans="1:4" x14ac:dyDescent="0.3">
      <c r="A218" s="79">
        <v>41571</v>
      </c>
      <c r="B218" s="78" t="s">
        <v>67</v>
      </c>
      <c r="C218" s="78" t="s">
        <v>79</v>
      </c>
      <c r="D218" s="80">
        <v>175</v>
      </c>
    </row>
    <row r="219" spans="1:4" x14ac:dyDescent="0.3">
      <c r="A219" s="79">
        <v>41572</v>
      </c>
      <c r="B219" s="78" t="s">
        <v>69</v>
      </c>
      <c r="C219" s="78" t="s">
        <v>65</v>
      </c>
      <c r="D219" s="80">
        <v>438</v>
      </c>
    </row>
    <row r="220" spans="1:4" x14ac:dyDescent="0.3">
      <c r="A220" s="79">
        <v>41567</v>
      </c>
      <c r="B220" s="78" t="s">
        <v>69</v>
      </c>
      <c r="C220" s="78" t="s">
        <v>68</v>
      </c>
      <c r="D220" s="80">
        <v>622</v>
      </c>
    </row>
    <row r="221" spans="1:4" x14ac:dyDescent="0.3">
      <c r="A221" s="79">
        <v>41568</v>
      </c>
      <c r="B221" s="78" t="s">
        <v>69</v>
      </c>
      <c r="C221" s="78" t="s">
        <v>68</v>
      </c>
      <c r="D221" s="80">
        <v>612</v>
      </c>
    </row>
    <row r="222" spans="1:4" x14ac:dyDescent="0.3">
      <c r="A222" s="79">
        <v>41571</v>
      </c>
      <c r="B222" s="78" t="s">
        <v>69</v>
      </c>
      <c r="C222" s="78" t="s">
        <v>66</v>
      </c>
      <c r="D222" s="80">
        <v>404</v>
      </c>
    </row>
    <row r="223" spans="1:4" x14ac:dyDescent="0.3">
      <c r="A223" s="79">
        <v>41573</v>
      </c>
      <c r="B223" s="78" t="s">
        <v>69</v>
      </c>
      <c r="C223" s="78" t="s">
        <v>65</v>
      </c>
      <c r="D223" s="80">
        <v>632</v>
      </c>
    </row>
    <row r="224" spans="1:4" x14ac:dyDescent="0.3">
      <c r="A224" s="79">
        <v>41569</v>
      </c>
      <c r="B224" s="78" t="s">
        <v>67</v>
      </c>
      <c r="C224" s="78" t="s">
        <v>65</v>
      </c>
      <c r="D224" s="80">
        <v>20</v>
      </c>
    </row>
    <row r="225" spans="1:4" x14ac:dyDescent="0.3">
      <c r="A225" s="79">
        <v>41567</v>
      </c>
      <c r="B225" s="78" t="s">
        <v>63</v>
      </c>
      <c r="C225" s="78" t="s">
        <v>86</v>
      </c>
      <c r="D225" s="80">
        <v>264</v>
      </c>
    </row>
    <row r="226" spans="1:4" x14ac:dyDescent="0.3">
      <c r="A226" s="79">
        <v>41567</v>
      </c>
      <c r="B226" s="78" t="s">
        <v>67</v>
      </c>
      <c r="C226" s="78" t="s">
        <v>65</v>
      </c>
      <c r="D226" s="80">
        <v>656</v>
      </c>
    </row>
    <row r="227" spans="1:4" x14ac:dyDescent="0.3">
      <c r="A227" s="79">
        <v>41568</v>
      </c>
      <c r="B227" s="78" t="s">
        <v>67</v>
      </c>
      <c r="C227" s="78" t="s">
        <v>64</v>
      </c>
      <c r="D227" s="80">
        <v>391</v>
      </c>
    </row>
    <row r="228" spans="1:4" x14ac:dyDescent="0.3">
      <c r="A228" s="79">
        <v>41567</v>
      </c>
      <c r="B228" s="78" t="s">
        <v>69</v>
      </c>
      <c r="C228" s="78" t="s">
        <v>66</v>
      </c>
      <c r="D228" s="80">
        <v>686</v>
      </c>
    </row>
    <row r="229" spans="1:4" x14ac:dyDescent="0.3">
      <c r="A229" s="79">
        <v>41573</v>
      </c>
      <c r="B229" s="78" t="s">
        <v>67</v>
      </c>
      <c r="C229" s="78" t="s">
        <v>88</v>
      </c>
      <c r="D229" s="80">
        <v>466</v>
      </c>
    </row>
    <row r="230" spans="1:4" x14ac:dyDescent="0.3">
      <c r="A230" s="79">
        <v>41569</v>
      </c>
      <c r="B230" s="78" t="s">
        <v>63</v>
      </c>
      <c r="C230" s="78" t="s">
        <v>79</v>
      </c>
      <c r="D230" s="80">
        <v>661</v>
      </c>
    </row>
    <row r="231" spans="1:4" x14ac:dyDescent="0.3">
      <c r="A231" s="79">
        <v>41568</v>
      </c>
      <c r="B231" s="78" t="s">
        <v>69</v>
      </c>
      <c r="C231" s="78" t="s">
        <v>72</v>
      </c>
      <c r="D231" s="80">
        <v>654</v>
      </c>
    </row>
    <row r="232" spans="1:4" x14ac:dyDescent="0.3">
      <c r="A232" s="79">
        <v>41569</v>
      </c>
      <c r="B232" s="78" t="s">
        <v>63</v>
      </c>
      <c r="C232" s="78" t="s">
        <v>78</v>
      </c>
      <c r="D232" s="80">
        <v>661</v>
      </c>
    </row>
    <row r="233" spans="1:4" x14ac:dyDescent="0.3">
      <c r="A233" s="79">
        <v>41572</v>
      </c>
      <c r="B233" s="78" t="s">
        <v>63</v>
      </c>
      <c r="C233" s="78" t="s">
        <v>80</v>
      </c>
      <c r="D233" s="80">
        <v>202</v>
      </c>
    </row>
    <row r="234" spans="1:4" x14ac:dyDescent="0.3">
      <c r="A234" s="79">
        <v>41570</v>
      </c>
      <c r="B234" s="78" t="s">
        <v>63</v>
      </c>
      <c r="C234" s="78" t="s">
        <v>72</v>
      </c>
      <c r="D234" s="80">
        <v>335</v>
      </c>
    </row>
    <row r="235" spans="1:4" x14ac:dyDescent="0.3">
      <c r="A235" s="79">
        <v>41571</v>
      </c>
      <c r="B235" s="78" t="s">
        <v>69</v>
      </c>
      <c r="C235" s="78" t="s">
        <v>78</v>
      </c>
      <c r="D235" s="80">
        <v>181</v>
      </c>
    </row>
    <row r="236" spans="1:4" x14ac:dyDescent="0.3">
      <c r="A236" s="79">
        <v>41570</v>
      </c>
      <c r="B236" s="78" t="s">
        <v>63</v>
      </c>
      <c r="C236" s="78" t="s">
        <v>68</v>
      </c>
      <c r="D236" s="80">
        <v>370</v>
      </c>
    </row>
    <row r="237" spans="1:4" x14ac:dyDescent="0.3">
      <c r="A237" s="79">
        <v>41570</v>
      </c>
      <c r="B237" s="78" t="s">
        <v>63</v>
      </c>
      <c r="C237" s="78" t="s">
        <v>70</v>
      </c>
      <c r="D237" s="80">
        <v>608</v>
      </c>
    </row>
    <row r="238" spans="1:4" x14ac:dyDescent="0.3">
      <c r="A238" s="79">
        <v>41573</v>
      </c>
      <c r="B238" s="78" t="s">
        <v>63</v>
      </c>
      <c r="C238" s="78" t="s">
        <v>72</v>
      </c>
      <c r="D238" s="80">
        <v>74</v>
      </c>
    </row>
    <row r="239" spans="1:4" x14ac:dyDescent="0.3">
      <c r="A239" s="79">
        <v>41568</v>
      </c>
      <c r="B239" s="78" t="s">
        <v>69</v>
      </c>
      <c r="C239" s="78" t="s">
        <v>73</v>
      </c>
      <c r="D239" s="80">
        <v>349</v>
      </c>
    </row>
    <row r="240" spans="1:4" x14ac:dyDescent="0.3">
      <c r="A240" s="79">
        <v>41570</v>
      </c>
      <c r="B240" s="78" t="s">
        <v>67</v>
      </c>
      <c r="C240" s="78" t="s">
        <v>66</v>
      </c>
      <c r="D240" s="80">
        <v>77</v>
      </c>
    </row>
    <row r="241" spans="1:4" x14ac:dyDescent="0.3">
      <c r="A241" s="79">
        <v>41567</v>
      </c>
      <c r="B241" s="78" t="s">
        <v>69</v>
      </c>
      <c r="C241" s="78" t="s">
        <v>71</v>
      </c>
      <c r="D241" s="80">
        <v>77</v>
      </c>
    </row>
    <row r="242" spans="1:4" x14ac:dyDescent="0.3">
      <c r="A242" s="79">
        <v>41573</v>
      </c>
      <c r="B242" s="78" t="s">
        <v>69</v>
      </c>
      <c r="C242" s="78" t="s">
        <v>70</v>
      </c>
      <c r="D242" s="80">
        <v>639</v>
      </c>
    </row>
    <row r="243" spans="1:4" x14ac:dyDescent="0.3">
      <c r="A243" s="79">
        <v>41573</v>
      </c>
      <c r="B243" s="78" t="s">
        <v>69</v>
      </c>
      <c r="C243" s="78" t="s">
        <v>78</v>
      </c>
      <c r="D243" s="80">
        <v>97</v>
      </c>
    </row>
    <row r="244" spans="1:4" x14ac:dyDescent="0.3">
      <c r="A244" s="79">
        <v>41571</v>
      </c>
      <c r="B244" s="78" t="s">
        <v>67</v>
      </c>
      <c r="C244" s="78" t="s">
        <v>78</v>
      </c>
      <c r="D244" s="80">
        <v>56</v>
      </c>
    </row>
    <row r="245" spans="1:4" x14ac:dyDescent="0.3">
      <c r="A245" s="79">
        <v>41569</v>
      </c>
      <c r="B245" s="78" t="s">
        <v>69</v>
      </c>
      <c r="C245" s="78" t="s">
        <v>74</v>
      </c>
      <c r="D245" s="80">
        <v>22</v>
      </c>
    </row>
    <row r="246" spans="1:4" x14ac:dyDescent="0.3">
      <c r="A246" s="79">
        <v>41569</v>
      </c>
      <c r="B246" s="78" t="s">
        <v>63</v>
      </c>
      <c r="C246" s="78" t="s">
        <v>89</v>
      </c>
      <c r="D246" s="80">
        <v>306</v>
      </c>
    </row>
    <row r="247" spans="1:4" x14ac:dyDescent="0.3">
      <c r="A247" s="79">
        <v>41572</v>
      </c>
      <c r="B247" s="78" t="s">
        <v>67</v>
      </c>
      <c r="C247" s="78" t="s">
        <v>65</v>
      </c>
      <c r="D247" s="80">
        <v>329</v>
      </c>
    </row>
    <row r="248" spans="1:4" x14ac:dyDescent="0.3">
      <c r="A248" s="79">
        <v>41567</v>
      </c>
      <c r="B248" s="78" t="s">
        <v>63</v>
      </c>
      <c r="C248" s="78" t="s">
        <v>65</v>
      </c>
      <c r="D248" s="80">
        <v>95</v>
      </c>
    </row>
    <row r="249" spans="1:4" x14ac:dyDescent="0.3">
      <c r="A249" s="79">
        <v>41572</v>
      </c>
      <c r="B249" s="78" t="s">
        <v>69</v>
      </c>
      <c r="C249" s="78" t="s">
        <v>79</v>
      </c>
      <c r="D249" s="80">
        <v>270</v>
      </c>
    </row>
    <row r="250" spans="1:4" x14ac:dyDescent="0.3">
      <c r="A250" s="79">
        <v>41573</v>
      </c>
      <c r="B250" s="78" t="s">
        <v>69</v>
      </c>
      <c r="C250" s="78" t="s">
        <v>77</v>
      </c>
      <c r="D250" s="80">
        <v>648</v>
      </c>
    </row>
    <row r="251" spans="1:4" x14ac:dyDescent="0.3">
      <c r="A251" s="79">
        <v>41571</v>
      </c>
      <c r="B251" s="78" t="s">
        <v>67</v>
      </c>
      <c r="C251" s="78" t="s">
        <v>72</v>
      </c>
      <c r="D251" s="80">
        <v>169</v>
      </c>
    </row>
    <row r="252" spans="1:4" x14ac:dyDescent="0.3">
      <c r="A252" s="79">
        <v>41568</v>
      </c>
      <c r="B252" s="78" t="s">
        <v>63</v>
      </c>
      <c r="C252" s="78" t="s">
        <v>70</v>
      </c>
      <c r="D252" s="80">
        <v>488</v>
      </c>
    </row>
    <row r="253" spans="1:4" x14ac:dyDescent="0.3">
      <c r="A253" s="79">
        <v>41569</v>
      </c>
      <c r="B253" s="78" t="s">
        <v>67</v>
      </c>
      <c r="C253" s="78" t="s">
        <v>66</v>
      </c>
      <c r="D253" s="80">
        <v>353</v>
      </c>
    </row>
    <row r="254" spans="1:4" x14ac:dyDescent="0.3">
      <c r="A254" s="79">
        <v>41569</v>
      </c>
      <c r="B254" s="78" t="s">
        <v>63</v>
      </c>
      <c r="C254" s="78" t="s">
        <v>65</v>
      </c>
      <c r="D254" s="80">
        <v>613</v>
      </c>
    </row>
    <row r="255" spans="1:4" x14ac:dyDescent="0.3">
      <c r="A255" s="79">
        <v>41570</v>
      </c>
      <c r="B255" s="78" t="s">
        <v>63</v>
      </c>
      <c r="C255" s="78" t="s">
        <v>71</v>
      </c>
      <c r="D255" s="80">
        <v>664</v>
      </c>
    </row>
    <row r="256" spans="1:4" x14ac:dyDescent="0.3">
      <c r="A256" s="79">
        <v>41570</v>
      </c>
      <c r="B256" s="78" t="s">
        <v>63</v>
      </c>
      <c r="C256" s="78" t="s">
        <v>90</v>
      </c>
      <c r="D256" s="80">
        <v>343</v>
      </c>
    </row>
    <row r="257" spans="1:4" x14ac:dyDescent="0.3">
      <c r="A257" s="79">
        <v>41571</v>
      </c>
      <c r="B257" s="78" t="s">
        <v>69</v>
      </c>
      <c r="C257" s="78" t="s">
        <v>89</v>
      </c>
      <c r="D257" s="80">
        <v>318</v>
      </c>
    </row>
    <row r="258" spans="1:4" x14ac:dyDescent="0.3">
      <c r="A258" s="79">
        <v>41573</v>
      </c>
      <c r="B258" s="78" t="s">
        <v>67</v>
      </c>
      <c r="C258" s="78" t="s">
        <v>81</v>
      </c>
      <c r="D258" s="80">
        <v>294</v>
      </c>
    </row>
    <row r="259" spans="1:4" x14ac:dyDescent="0.3">
      <c r="A259" s="79">
        <v>41570</v>
      </c>
      <c r="B259" s="78" t="s">
        <v>67</v>
      </c>
      <c r="C259" s="78" t="s">
        <v>74</v>
      </c>
      <c r="D259" s="80">
        <v>295</v>
      </c>
    </row>
    <row r="260" spans="1:4" x14ac:dyDescent="0.3">
      <c r="A260" s="79">
        <v>41573</v>
      </c>
      <c r="B260" s="78" t="s">
        <v>67</v>
      </c>
      <c r="C260" s="78" t="s">
        <v>79</v>
      </c>
      <c r="D260" s="80">
        <v>197</v>
      </c>
    </row>
    <row r="261" spans="1:4" x14ac:dyDescent="0.3">
      <c r="A261" s="79">
        <v>41568</v>
      </c>
      <c r="B261" s="78" t="s">
        <v>67</v>
      </c>
      <c r="C261" s="78" t="s">
        <v>71</v>
      </c>
      <c r="D261" s="80">
        <v>682</v>
      </c>
    </row>
    <row r="262" spans="1:4" x14ac:dyDescent="0.3">
      <c r="A262" s="79">
        <v>41570</v>
      </c>
      <c r="B262" s="78" t="s">
        <v>63</v>
      </c>
      <c r="C262" s="78" t="s">
        <v>84</v>
      </c>
      <c r="D262" s="80">
        <v>147</v>
      </c>
    </row>
    <row r="263" spans="1:4" x14ac:dyDescent="0.3">
      <c r="A263" s="79">
        <v>41571</v>
      </c>
      <c r="B263" s="78" t="s">
        <v>63</v>
      </c>
      <c r="C263" s="78" t="s">
        <v>81</v>
      </c>
      <c r="D263" s="80">
        <v>662</v>
      </c>
    </row>
    <row r="264" spans="1:4" x14ac:dyDescent="0.3">
      <c r="A264" s="79">
        <v>41572</v>
      </c>
      <c r="B264" s="78" t="s">
        <v>67</v>
      </c>
      <c r="C264" s="78" t="s">
        <v>79</v>
      </c>
      <c r="D264" s="80">
        <v>482</v>
      </c>
    </row>
    <row r="265" spans="1:4" x14ac:dyDescent="0.3">
      <c r="A265" s="79">
        <v>41571</v>
      </c>
      <c r="B265" s="78" t="s">
        <v>69</v>
      </c>
      <c r="C265" s="78" t="s">
        <v>70</v>
      </c>
      <c r="D265" s="80">
        <v>503</v>
      </c>
    </row>
    <row r="266" spans="1:4" x14ac:dyDescent="0.3">
      <c r="A266" s="79">
        <v>41571</v>
      </c>
      <c r="B266" s="78" t="s">
        <v>63</v>
      </c>
      <c r="C266" s="78" t="s">
        <v>65</v>
      </c>
      <c r="D266" s="80">
        <v>190</v>
      </c>
    </row>
    <row r="267" spans="1:4" x14ac:dyDescent="0.3">
      <c r="A267" s="79">
        <v>41572</v>
      </c>
      <c r="B267" s="78" t="s">
        <v>69</v>
      </c>
      <c r="C267" s="78" t="s">
        <v>86</v>
      </c>
      <c r="D267" s="80">
        <v>477</v>
      </c>
    </row>
    <row r="268" spans="1:4" x14ac:dyDescent="0.3">
      <c r="A268" s="79">
        <v>41568</v>
      </c>
      <c r="B268" s="78" t="s">
        <v>69</v>
      </c>
      <c r="C268" s="78" t="s">
        <v>65</v>
      </c>
      <c r="D268" s="80">
        <v>630</v>
      </c>
    </row>
    <row r="269" spans="1:4" x14ac:dyDescent="0.3">
      <c r="A269" s="79">
        <v>41568</v>
      </c>
      <c r="B269" s="78" t="s">
        <v>63</v>
      </c>
      <c r="C269" s="78" t="s">
        <v>72</v>
      </c>
      <c r="D269" s="80">
        <v>576</v>
      </c>
    </row>
    <row r="270" spans="1:4" x14ac:dyDescent="0.3">
      <c r="A270" s="79">
        <v>41572</v>
      </c>
      <c r="B270" s="78" t="s">
        <v>63</v>
      </c>
      <c r="C270" s="78" t="s">
        <v>78</v>
      </c>
      <c r="D270" s="80">
        <v>43</v>
      </c>
    </row>
    <row r="271" spans="1:4" x14ac:dyDescent="0.3">
      <c r="A271" s="79">
        <v>41569</v>
      </c>
      <c r="B271" s="78" t="s">
        <v>69</v>
      </c>
      <c r="C271" s="78" t="s">
        <v>70</v>
      </c>
      <c r="D271" s="80">
        <v>460</v>
      </c>
    </row>
    <row r="272" spans="1:4" x14ac:dyDescent="0.3">
      <c r="A272" s="79">
        <v>41567</v>
      </c>
      <c r="B272" s="78" t="s">
        <v>63</v>
      </c>
      <c r="C272" s="78" t="s">
        <v>84</v>
      </c>
      <c r="D272" s="80">
        <v>347</v>
      </c>
    </row>
    <row r="273" spans="1:4" x14ac:dyDescent="0.3">
      <c r="A273" s="79">
        <v>41570</v>
      </c>
      <c r="B273" s="78" t="s">
        <v>67</v>
      </c>
      <c r="C273" s="78" t="s">
        <v>79</v>
      </c>
      <c r="D273" s="80">
        <v>245</v>
      </c>
    </row>
    <row r="274" spans="1:4" x14ac:dyDescent="0.3">
      <c r="A274" s="79">
        <v>41573</v>
      </c>
      <c r="B274" s="78" t="s">
        <v>63</v>
      </c>
      <c r="C274" s="78" t="s">
        <v>78</v>
      </c>
      <c r="D274" s="80">
        <v>303</v>
      </c>
    </row>
    <row r="275" spans="1:4" x14ac:dyDescent="0.3">
      <c r="A275" s="79">
        <v>41569</v>
      </c>
      <c r="B275" s="78" t="s">
        <v>69</v>
      </c>
      <c r="C275" s="78" t="s">
        <v>72</v>
      </c>
      <c r="D275" s="80">
        <v>60</v>
      </c>
    </row>
    <row r="276" spans="1:4" x14ac:dyDescent="0.3">
      <c r="A276" s="79">
        <v>41570</v>
      </c>
      <c r="B276" s="78" t="s">
        <v>67</v>
      </c>
      <c r="C276" s="78" t="s">
        <v>74</v>
      </c>
      <c r="D276" s="80">
        <v>191</v>
      </c>
    </row>
    <row r="277" spans="1:4" x14ac:dyDescent="0.3">
      <c r="A277" s="79">
        <v>41571</v>
      </c>
      <c r="B277" s="78" t="s">
        <v>69</v>
      </c>
      <c r="C277" s="78" t="s">
        <v>66</v>
      </c>
      <c r="D277" s="80">
        <v>550</v>
      </c>
    </row>
    <row r="278" spans="1:4" x14ac:dyDescent="0.3">
      <c r="A278" s="79">
        <v>41567</v>
      </c>
      <c r="B278" s="78" t="s">
        <v>67</v>
      </c>
      <c r="C278" s="78" t="s">
        <v>77</v>
      </c>
      <c r="D278" s="80">
        <v>222</v>
      </c>
    </row>
    <row r="279" spans="1:4" x14ac:dyDescent="0.3">
      <c r="A279" s="79">
        <v>41571</v>
      </c>
      <c r="B279" s="78" t="s">
        <v>69</v>
      </c>
      <c r="C279" s="78" t="s">
        <v>70</v>
      </c>
      <c r="D279" s="80">
        <v>213</v>
      </c>
    </row>
    <row r="280" spans="1:4" x14ac:dyDescent="0.3">
      <c r="A280" s="79">
        <v>41573</v>
      </c>
      <c r="B280" s="78" t="s">
        <v>69</v>
      </c>
      <c r="C280" s="78" t="s">
        <v>86</v>
      </c>
      <c r="D280" s="80">
        <v>28</v>
      </c>
    </row>
    <row r="281" spans="1:4" x14ac:dyDescent="0.3">
      <c r="A281" s="79">
        <v>41569</v>
      </c>
      <c r="B281" s="78" t="s">
        <v>63</v>
      </c>
      <c r="C281" s="78" t="s">
        <v>71</v>
      </c>
      <c r="D281" s="80">
        <v>552</v>
      </c>
    </row>
    <row r="282" spans="1:4" x14ac:dyDescent="0.3">
      <c r="A282" s="79">
        <v>41570</v>
      </c>
      <c r="B282" s="78" t="s">
        <v>63</v>
      </c>
      <c r="C282" s="78" t="s">
        <v>70</v>
      </c>
      <c r="D282" s="80">
        <v>608</v>
      </c>
    </row>
    <row r="283" spans="1:4" x14ac:dyDescent="0.3">
      <c r="A283" s="79">
        <v>41572</v>
      </c>
      <c r="B283" s="78" t="s">
        <v>63</v>
      </c>
      <c r="C283" s="78" t="s">
        <v>71</v>
      </c>
      <c r="D283" s="80">
        <v>308</v>
      </c>
    </row>
    <row r="284" spans="1:4" x14ac:dyDescent="0.3">
      <c r="A284" s="79">
        <v>41569</v>
      </c>
      <c r="B284" s="78" t="s">
        <v>69</v>
      </c>
      <c r="C284" s="78" t="s">
        <v>90</v>
      </c>
      <c r="D284" s="80">
        <v>56</v>
      </c>
    </row>
    <row r="285" spans="1:4" x14ac:dyDescent="0.3">
      <c r="A285" s="79">
        <v>41573</v>
      </c>
      <c r="B285" s="78" t="s">
        <v>69</v>
      </c>
      <c r="C285" s="78" t="s">
        <v>90</v>
      </c>
      <c r="D285" s="80">
        <v>303</v>
      </c>
    </row>
    <row r="286" spans="1:4" x14ac:dyDescent="0.3">
      <c r="A286" s="79">
        <v>41569</v>
      </c>
      <c r="B286" s="78" t="s">
        <v>63</v>
      </c>
      <c r="C286" s="78" t="s">
        <v>84</v>
      </c>
      <c r="D286" s="80">
        <v>561</v>
      </c>
    </row>
    <row r="287" spans="1:4" x14ac:dyDescent="0.3">
      <c r="A287" s="79">
        <v>41567</v>
      </c>
      <c r="B287" s="78" t="s">
        <v>69</v>
      </c>
      <c r="C287" s="78" t="s">
        <v>77</v>
      </c>
      <c r="D287" s="80">
        <v>264</v>
      </c>
    </row>
    <row r="288" spans="1:4" x14ac:dyDescent="0.3">
      <c r="A288" s="79">
        <v>41567</v>
      </c>
      <c r="B288" s="78" t="s">
        <v>69</v>
      </c>
      <c r="C288" s="78" t="s">
        <v>78</v>
      </c>
      <c r="D288" s="80">
        <v>249</v>
      </c>
    </row>
    <row r="289" spans="1:4" x14ac:dyDescent="0.3">
      <c r="A289" s="79">
        <v>41572</v>
      </c>
      <c r="B289" s="78" t="s">
        <v>67</v>
      </c>
      <c r="C289" s="78" t="s">
        <v>66</v>
      </c>
      <c r="D289" s="80">
        <v>259</v>
      </c>
    </row>
    <row r="290" spans="1:4" x14ac:dyDescent="0.3">
      <c r="A290" s="79">
        <v>41573</v>
      </c>
      <c r="B290" s="78" t="s">
        <v>67</v>
      </c>
      <c r="C290" s="78" t="s">
        <v>79</v>
      </c>
      <c r="D290" s="80">
        <v>609</v>
      </c>
    </row>
    <row r="291" spans="1:4" x14ac:dyDescent="0.3">
      <c r="A291" s="79">
        <v>41568</v>
      </c>
      <c r="B291" s="78" t="s">
        <v>67</v>
      </c>
      <c r="C291" s="78" t="s">
        <v>78</v>
      </c>
      <c r="D291" s="80">
        <v>213</v>
      </c>
    </row>
    <row r="292" spans="1:4" x14ac:dyDescent="0.3">
      <c r="A292" s="79">
        <v>41568</v>
      </c>
      <c r="B292" s="78" t="s">
        <v>63</v>
      </c>
      <c r="C292" s="78" t="s">
        <v>78</v>
      </c>
      <c r="D292" s="80">
        <v>301</v>
      </c>
    </row>
    <row r="293" spans="1:4" x14ac:dyDescent="0.3">
      <c r="A293" s="79">
        <v>41573</v>
      </c>
      <c r="B293" s="78" t="s">
        <v>69</v>
      </c>
      <c r="C293" s="78" t="s">
        <v>86</v>
      </c>
      <c r="D293" s="80">
        <v>359</v>
      </c>
    </row>
    <row r="294" spans="1:4" x14ac:dyDescent="0.3">
      <c r="A294" s="79">
        <v>41573</v>
      </c>
      <c r="B294" s="78" t="s">
        <v>63</v>
      </c>
      <c r="C294" s="78" t="s">
        <v>74</v>
      </c>
      <c r="D294" s="80">
        <v>18</v>
      </c>
    </row>
    <row r="295" spans="1:4" x14ac:dyDescent="0.3">
      <c r="A295" s="79">
        <v>41567</v>
      </c>
      <c r="B295" s="78" t="s">
        <v>69</v>
      </c>
      <c r="C295" s="78" t="s">
        <v>66</v>
      </c>
      <c r="D295" s="80">
        <v>98</v>
      </c>
    </row>
    <row r="296" spans="1:4" x14ac:dyDescent="0.3">
      <c r="A296" s="79">
        <v>41569</v>
      </c>
      <c r="B296" s="78" t="s">
        <v>67</v>
      </c>
      <c r="C296" s="78" t="s">
        <v>78</v>
      </c>
      <c r="D296" s="80">
        <v>274</v>
      </c>
    </row>
    <row r="297" spans="1:4" x14ac:dyDescent="0.3">
      <c r="A297" s="79">
        <v>41571</v>
      </c>
      <c r="B297" s="78" t="s">
        <v>69</v>
      </c>
      <c r="C297" s="78" t="s">
        <v>75</v>
      </c>
      <c r="D297" s="80">
        <v>466</v>
      </c>
    </row>
    <row r="298" spans="1:4" x14ac:dyDescent="0.3">
      <c r="A298" s="79">
        <v>41567</v>
      </c>
      <c r="B298" s="78" t="s">
        <v>67</v>
      </c>
      <c r="C298" s="78" t="s">
        <v>72</v>
      </c>
      <c r="D298" s="80">
        <v>65</v>
      </c>
    </row>
    <row r="299" spans="1:4" x14ac:dyDescent="0.3">
      <c r="A299" s="79">
        <v>41568</v>
      </c>
      <c r="B299" s="78" t="s">
        <v>67</v>
      </c>
      <c r="C299" s="78" t="s">
        <v>79</v>
      </c>
      <c r="D299" s="80">
        <v>638</v>
      </c>
    </row>
    <row r="300" spans="1:4" x14ac:dyDescent="0.3">
      <c r="A300" s="79">
        <v>41570</v>
      </c>
      <c r="B300" s="78" t="s">
        <v>63</v>
      </c>
      <c r="C300" s="78" t="s">
        <v>72</v>
      </c>
      <c r="D300" s="80">
        <v>73</v>
      </c>
    </row>
    <row r="301" spans="1:4" x14ac:dyDescent="0.3">
      <c r="A301" s="79">
        <v>41567</v>
      </c>
      <c r="B301" s="78" t="s">
        <v>63</v>
      </c>
      <c r="C301" s="78" t="s">
        <v>70</v>
      </c>
      <c r="D301" s="80">
        <v>89</v>
      </c>
    </row>
    <row r="302" spans="1:4" x14ac:dyDescent="0.3">
      <c r="A302" s="79">
        <v>41569</v>
      </c>
      <c r="B302" s="78" t="s">
        <v>63</v>
      </c>
      <c r="C302" s="78" t="s">
        <v>72</v>
      </c>
      <c r="D302" s="80">
        <v>154</v>
      </c>
    </row>
    <row r="303" spans="1:4" x14ac:dyDescent="0.3">
      <c r="A303" s="79">
        <v>41567</v>
      </c>
      <c r="B303" s="78" t="s">
        <v>63</v>
      </c>
      <c r="C303" s="78" t="s">
        <v>86</v>
      </c>
      <c r="D303" s="80">
        <v>209</v>
      </c>
    </row>
    <row r="304" spans="1:4" x14ac:dyDescent="0.3">
      <c r="A304" s="79">
        <v>41570</v>
      </c>
      <c r="B304" s="78" t="s">
        <v>63</v>
      </c>
      <c r="C304" s="78" t="s">
        <v>72</v>
      </c>
      <c r="D304" s="80">
        <v>296</v>
      </c>
    </row>
    <row r="305" spans="1:4" x14ac:dyDescent="0.3">
      <c r="A305" s="79">
        <v>41572</v>
      </c>
      <c r="B305" s="78" t="s">
        <v>67</v>
      </c>
      <c r="C305" s="78" t="s">
        <v>64</v>
      </c>
      <c r="D305" s="80">
        <v>564</v>
      </c>
    </row>
    <row r="306" spans="1:4" x14ac:dyDescent="0.3">
      <c r="A306" s="79">
        <v>41572</v>
      </c>
      <c r="B306" s="78" t="s">
        <v>69</v>
      </c>
      <c r="C306" s="78" t="s">
        <v>66</v>
      </c>
      <c r="D306" s="80">
        <v>338</v>
      </c>
    </row>
    <row r="307" spans="1:4" x14ac:dyDescent="0.3">
      <c r="A307" s="79">
        <v>41572</v>
      </c>
      <c r="B307" s="78" t="s">
        <v>67</v>
      </c>
      <c r="C307" s="78" t="s">
        <v>68</v>
      </c>
      <c r="D307" s="80">
        <v>428</v>
      </c>
    </row>
    <row r="308" spans="1:4" x14ac:dyDescent="0.3">
      <c r="A308" s="79">
        <v>41573</v>
      </c>
      <c r="B308" s="78" t="s">
        <v>67</v>
      </c>
      <c r="C308" s="78" t="s">
        <v>71</v>
      </c>
      <c r="D308" s="80">
        <v>24</v>
      </c>
    </row>
    <row r="309" spans="1:4" x14ac:dyDescent="0.3">
      <c r="A309" s="79">
        <v>41569</v>
      </c>
      <c r="B309" s="78" t="s">
        <v>69</v>
      </c>
      <c r="C309" s="78" t="s">
        <v>65</v>
      </c>
      <c r="D309" s="80">
        <v>353</v>
      </c>
    </row>
    <row r="310" spans="1:4" x14ac:dyDescent="0.3">
      <c r="A310" s="79">
        <v>41573</v>
      </c>
      <c r="B310" s="78" t="s">
        <v>63</v>
      </c>
      <c r="C310" s="78" t="s">
        <v>78</v>
      </c>
      <c r="D310" s="80">
        <v>645</v>
      </c>
    </row>
    <row r="311" spans="1:4" x14ac:dyDescent="0.3">
      <c r="A311" s="79">
        <v>41573</v>
      </c>
      <c r="B311" s="78" t="s">
        <v>69</v>
      </c>
      <c r="C311" s="78" t="s">
        <v>68</v>
      </c>
      <c r="D311" s="80">
        <v>466</v>
      </c>
    </row>
    <row r="312" spans="1:4" x14ac:dyDescent="0.3">
      <c r="A312" s="79">
        <v>41569</v>
      </c>
      <c r="B312" s="78" t="s">
        <v>63</v>
      </c>
      <c r="C312" s="78" t="s">
        <v>65</v>
      </c>
      <c r="D312" s="80">
        <v>37</v>
      </c>
    </row>
    <row r="313" spans="1:4" x14ac:dyDescent="0.3">
      <c r="A313" s="79">
        <v>41572</v>
      </c>
      <c r="B313" s="78" t="s">
        <v>67</v>
      </c>
      <c r="C313" s="78" t="s">
        <v>72</v>
      </c>
      <c r="D313" s="80">
        <v>367</v>
      </c>
    </row>
    <row r="314" spans="1:4" x14ac:dyDescent="0.3">
      <c r="A314" s="79">
        <v>41569</v>
      </c>
      <c r="B314" s="78" t="s">
        <v>69</v>
      </c>
      <c r="C314" s="78" t="s">
        <v>71</v>
      </c>
      <c r="D314" s="80">
        <v>295</v>
      </c>
    </row>
    <row r="315" spans="1:4" x14ac:dyDescent="0.3">
      <c r="A315" s="79">
        <v>41570</v>
      </c>
      <c r="B315" s="78" t="s">
        <v>69</v>
      </c>
      <c r="C315" s="78" t="s">
        <v>78</v>
      </c>
      <c r="D315" s="80">
        <v>178</v>
      </c>
    </row>
    <row r="316" spans="1:4" x14ac:dyDescent="0.3">
      <c r="A316" s="79">
        <v>41568</v>
      </c>
      <c r="B316" s="78" t="s">
        <v>63</v>
      </c>
      <c r="C316" s="78" t="s">
        <v>70</v>
      </c>
      <c r="D316" s="80">
        <v>56</v>
      </c>
    </row>
    <row r="317" spans="1:4" x14ac:dyDescent="0.3">
      <c r="A317" s="79">
        <v>41573</v>
      </c>
      <c r="B317" s="78" t="s">
        <v>63</v>
      </c>
      <c r="C317" s="78" t="s">
        <v>71</v>
      </c>
      <c r="D317" s="80">
        <v>227</v>
      </c>
    </row>
    <row r="318" spans="1:4" x14ac:dyDescent="0.3">
      <c r="A318" s="79">
        <v>41571</v>
      </c>
      <c r="B318" s="78" t="s">
        <v>69</v>
      </c>
      <c r="C318" s="78" t="s">
        <v>78</v>
      </c>
      <c r="D318" s="80">
        <v>215</v>
      </c>
    </row>
    <row r="319" spans="1:4" x14ac:dyDescent="0.3">
      <c r="A319" s="79">
        <v>41571</v>
      </c>
      <c r="B319" s="78" t="s">
        <v>63</v>
      </c>
      <c r="C319" s="78" t="s">
        <v>71</v>
      </c>
      <c r="D319" s="80">
        <v>506</v>
      </c>
    </row>
    <row r="320" spans="1:4" x14ac:dyDescent="0.3">
      <c r="A320" s="79">
        <v>41573</v>
      </c>
      <c r="B320" s="78" t="s">
        <v>67</v>
      </c>
      <c r="C320" s="78" t="s">
        <v>74</v>
      </c>
      <c r="D320" s="80">
        <v>215</v>
      </c>
    </row>
    <row r="321" spans="1:4" x14ac:dyDescent="0.3">
      <c r="A321" s="79">
        <v>41567</v>
      </c>
      <c r="B321" s="78" t="s">
        <v>69</v>
      </c>
      <c r="C321" s="78" t="s">
        <v>74</v>
      </c>
      <c r="D321" s="80">
        <v>237</v>
      </c>
    </row>
    <row r="322" spans="1:4" x14ac:dyDescent="0.3">
      <c r="A322" s="79">
        <v>41569</v>
      </c>
      <c r="B322" s="78" t="s">
        <v>63</v>
      </c>
      <c r="C322" s="78" t="s">
        <v>74</v>
      </c>
      <c r="D322" s="80">
        <v>296</v>
      </c>
    </row>
    <row r="323" spans="1:4" x14ac:dyDescent="0.3">
      <c r="A323" s="79">
        <v>41572</v>
      </c>
      <c r="B323" s="78" t="s">
        <v>63</v>
      </c>
      <c r="C323" s="78" t="s">
        <v>74</v>
      </c>
      <c r="D323" s="80">
        <v>302</v>
      </c>
    </row>
    <row r="324" spans="1:4" x14ac:dyDescent="0.3">
      <c r="A324" s="79">
        <v>41570</v>
      </c>
      <c r="B324" s="78" t="s">
        <v>69</v>
      </c>
      <c r="C324" s="78" t="s">
        <v>90</v>
      </c>
      <c r="D324" s="80">
        <v>622</v>
      </c>
    </row>
    <row r="325" spans="1:4" x14ac:dyDescent="0.3">
      <c r="A325" s="79">
        <v>41568</v>
      </c>
      <c r="B325" s="78" t="s">
        <v>63</v>
      </c>
      <c r="C325" s="78" t="s">
        <v>74</v>
      </c>
      <c r="D325" s="80">
        <v>312</v>
      </c>
    </row>
    <row r="326" spans="1:4" x14ac:dyDescent="0.3">
      <c r="A326" s="79">
        <v>41571</v>
      </c>
      <c r="B326" s="78" t="s">
        <v>63</v>
      </c>
      <c r="C326" s="78" t="s">
        <v>68</v>
      </c>
      <c r="D326" s="80">
        <v>304</v>
      </c>
    </row>
    <row r="327" spans="1:4" x14ac:dyDescent="0.3">
      <c r="A327" s="79">
        <v>41570</v>
      </c>
      <c r="B327" s="78" t="s">
        <v>69</v>
      </c>
      <c r="C327" s="78" t="s">
        <v>84</v>
      </c>
      <c r="D327" s="80">
        <v>158</v>
      </c>
    </row>
    <row r="328" spans="1:4" x14ac:dyDescent="0.3">
      <c r="A328" s="79">
        <v>41572</v>
      </c>
      <c r="B328" s="78" t="s">
        <v>63</v>
      </c>
      <c r="C328" s="78" t="s">
        <v>89</v>
      </c>
      <c r="D328" s="80">
        <v>569</v>
      </c>
    </row>
    <row r="329" spans="1:4" x14ac:dyDescent="0.3">
      <c r="A329" s="79">
        <v>41570</v>
      </c>
      <c r="B329" s="78" t="s">
        <v>67</v>
      </c>
      <c r="C329" s="78" t="s">
        <v>70</v>
      </c>
      <c r="D329" s="80">
        <v>545</v>
      </c>
    </row>
    <row r="330" spans="1:4" x14ac:dyDescent="0.3">
      <c r="A330" s="79">
        <v>41573</v>
      </c>
      <c r="B330" s="78" t="s">
        <v>69</v>
      </c>
      <c r="C330" s="78" t="s">
        <v>68</v>
      </c>
      <c r="D330" s="80">
        <v>111</v>
      </c>
    </row>
    <row r="331" spans="1:4" x14ac:dyDescent="0.3">
      <c r="A331" s="79">
        <v>41569</v>
      </c>
      <c r="B331" s="78" t="s">
        <v>63</v>
      </c>
      <c r="C331" s="78" t="s">
        <v>81</v>
      </c>
      <c r="D331" s="80">
        <v>227</v>
      </c>
    </row>
    <row r="332" spans="1:4" x14ac:dyDescent="0.3">
      <c r="A332" s="79">
        <v>41568</v>
      </c>
      <c r="B332" s="78" t="s">
        <v>67</v>
      </c>
      <c r="C332" s="78" t="s">
        <v>68</v>
      </c>
      <c r="D332" s="80">
        <v>340</v>
      </c>
    </row>
    <row r="333" spans="1:4" x14ac:dyDescent="0.3">
      <c r="A333" s="79">
        <v>41572</v>
      </c>
      <c r="B333" s="78" t="s">
        <v>63</v>
      </c>
      <c r="C333" s="78" t="s">
        <v>70</v>
      </c>
      <c r="D333" s="80">
        <v>123</v>
      </c>
    </row>
    <row r="334" spans="1:4" x14ac:dyDescent="0.3">
      <c r="A334" s="79">
        <v>41567</v>
      </c>
      <c r="B334" s="78" t="s">
        <v>63</v>
      </c>
      <c r="C334" s="78" t="s">
        <v>68</v>
      </c>
      <c r="D334" s="80">
        <v>229</v>
      </c>
    </row>
    <row r="335" spans="1:4" x14ac:dyDescent="0.3">
      <c r="A335" s="79">
        <v>41571</v>
      </c>
      <c r="B335" s="78" t="s">
        <v>67</v>
      </c>
      <c r="C335" s="78" t="s">
        <v>82</v>
      </c>
      <c r="D335" s="80">
        <v>618</v>
      </c>
    </row>
    <row r="336" spans="1:4" x14ac:dyDescent="0.3">
      <c r="A336" s="79">
        <v>41571</v>
      </c>
      <c r="B336" s="78" t="s">
        <v>69</v>
      </c>
      <c r="C336" s="78" t="s">
        <v>78</v>
      </c>
      <c r="D336" s="80">
        <v>65</v>
      </c>
    </row>
    <row r="337" spans="1:4" x14ac:dyDescent="0.3">
      <c r="A337" s="79">
        <v>41568</v>
      </c>
      <c r="B337" s="78" t="s">
        <v>63</v>
      </c>
      <c r="C337" s="78" t="s">
        <v>72</v>
      </c>
      <c r="D337" s="80">
        <v>19</v>
      </c>
    </row>
    <row r="338" spans="1:4" x14ac:dyDescent="0.3">
      <c r="A338" s="79">
        <v>41573</v>
      </c>
      <c r="B338" s="78" t="s">
        <v>69</v>
      </c>
      <c r="C338" s="78" t="s">
        <v>82</v>
      </c>
      <c r="D338" s="80">
        <v>72</v>
      </c>
    </row>
    <row r="339" spans="1:4" x14ac:dyDescent="0.3">
      <c r="A339" s="79">
        <v>41573</v>
      </c>
      <c r="B339" s="78" t="s">
        <v>63</v>
      </c>
      <c r="C339" s="78" t="s">
        <v>70</v>
      </c>
      <c r="D339" s="80">
        <v>103</v>
      </c>
    </row>
    <row r="340" spans="1:4" x14ac:dyDescent="0.3">
      <c r="A340" s="79">
        <v>41572</v>
      </c>
      <c r="B340" s="78" t="s">
        <v>63</v>
      </c>
      <c r="C340" s="78" t="s">
        <v>72</v>
      </c>
      <c r="D340" s="80">
        <v>658</v>
      </c>
    </row>
    <row r="341" spans="1:4" x14ac:dyDescent="0.3">
      <c r="A341" s="79">
        <v>41569</v>
      </c>
      <c r="B341" s="78" t="s">
        <v>69</v>
      </c>
      <c r="C341" s="78" t="s">
        <v>81</v>
      </c>
      <c r="D341" s="80">
        <v>523</v>
      </c>
    </row>
    <row r="342" spans="1:4" x14ac:dyDescent="0.3">
      <c r="A342" s="79">
        <v>41568</v>
      </c>
      <c r="B342" s="78" t="s">
        <v>67</v>
      </c>
      <c r="C342" s="78" t="s">
        <v>74</v>
      </c>
      <c r="D342" s="80">
        <v>338</v>
      </c>
    </row>
    <row r="343" spans="1:4" x14ac:dyDescent="0.3">
      <c r="A343" s="79">
        <v>41572</v>
      </c>
      <c r="B343" s="78" t="s">
        <v>67</v>
      </c>
      <c r="C343" s="78" t="s">
        <v>68</v>
      </c>
      <c r="D343" s="80">
        <v>33</v>
      </c>
    </row>
    <row r="344" spans="1:4" x14ac:dyDescent="0.3">
      <c r="A344" s="79">
        <v>41573</v>
      </c>
      <c r="B344" s="78" t="s">
        <v>63</v>
      </c>
      <c r="C344" s="78" t="s">
        <v>65</v>
      </c>
      <c r="D344" s="80">
        <v>553</v>
      </c>
    </row>
    <row r="345" spans="1:4" x14ac:dyDescent="0.3">
      <c r="A345" s="79">
        <v>41572</v>
      </c>
      <c r="B345" s="78" t="s">
        <v>67</v>
      </c>
      <c r="C345" s="78" t="s">
        <v>74</v>
      </c>
      <c r="D345" s="80">
        <v>346</v>
      </c>
    </row>
    <row r="346" spans="1:4" x14ac:dyDescent="0.3">
      <c r="A346" s="79">
        <v>41569</v>
      </c>
      <c r="B346" s="78" t="s">
        <v>67</v>
      </c>
      <c r="C346" s="78" t="s">
        <v>72</v>
      </c>
      <c r="D346" s="80">
        <v>125</v>
      </c>
    </row>
    <row r="347" spans="1:4" x14ac:dyDescent="0.3">
      <c r="A347" s="79">
        <v>41568</v>
      </c>
      <c r="B347" s="78" t="s">
        <v>63</v>
      </c>
      <c r="C347" s="78" t="s">
        <v>72</v>
      </c>
      <c r="D347" s="80">
        <v>241</v>
      </c>
    </row>
    <row r="348" spans="1:4" x14ac:dyDescent="0.3">
      <c r="A348" s="79">
        <v>41569</v>
      </c>
      <c r="B348" s="78" t="s">
        <v>63</v>
      </c>
      <c r="C348" s="78" t="s">
        <v>71</v>
      </c>
      <c r="D348" s="80">
        <v>316</v>
      </c>
    </row>
    <row r="349" spans="1:4" x14ac:dyDescent="0.3">
      <c r="A349" s="79">
        <v>41567</v>
      </c>
      <c r="B349" s="78" t="s">
        <v>67</v>
      </c>
      <c r="C349" s="78" t="s">
        <v>73</v>
      </c>
      <c r="D349" s="80">
        <v>392</v>
      </c>
    </row>
    <row r="350" spans="1:4" x14ac:dyDescent="0.3">
      <c r="A350" s="79">
        <v>41573</v>
      </c>
      <c r="B350" s="78" t="s">
        <v>63</v>
      </c>
      <c r="C350" s="78" t="s">
        <v>73</v>
      </c>
      <c r="D350" s="80">
        <v>644</v>
      </c>
    </row>
    <row r="351" spans="1:4" x14ac:dyDescent="0.3">
      <c r="A351" s="79">
        <v>41571</v>
      </c>
      <c r="B351" s="78" t="s">
        <v>67</v>
      </c>
      <c r="C351" s="78" t="s">
        <v>81</v>
      </c>
      <c r="D351" s="80">
        <v>259</v>
      </c>
    </row>
    <row r="352" spans="1:4" x14ac:dyDescent="0.3">
      <c r="A352" s="79">
        <v>41568</v>
      </c>
      <c r="B352" s="78" t="s">
        <v>63</v>
      </c>
      <c r="C352" s="78" t="s">
        <v>81</v>
      </c>
      <c r="D352" s="80">
        <v>488</v>
      </c>
    </row>
    <row r="353" spans="1:4" x14ac:dyDescent="0.3">
      <c r="A353" s="79">
        <v>41569</v>
      </c>
      <c r="B353" s="78" t="s">
        <v>67</v>
      </c>
      <c r="C353" s="78" t="s">
        <v>68</v>
      </c>
      <c r="D353" s="80">
        <v>299</v>
      </c>
    </row>
    <row r="354" spans="1:4" x14ac:dyDescent="0.3">
      <c r="A354" s="79">
        <v>41568</v>
      </c>
      <c r="B354" s="78" t="s">
        <v>67</v>
      </c>
      <c r="C354" s="78" t="s">
        <v>78</v>
      </c>
      <c r="D354" s="80">
        <v>36</v>
      </c>
    </row>
    <row r="355" spans="1:4" x14ac:dyDescent="0.3">
      <c r="A355" s="79">
        <v>41569</v>
      </c>
      <c r="B355" s="78" t="s">
        <v>69</v>
      </c>
      <c r="C355" s="78" t="s">
        <v>79</v>
      </c>
      <c r="D355" s="80">
        <v>83</v>
      </c>
    </row>
    <row r="356" spans="1:4" x14ac:dyDescent="0.3">
      <c r="A356" s="79">
        <v>41572</v>
      </c>
      <c r="B356" s="78" t="s">
        <v>69</v>
      </c>
      <c r="C356" s="78" t="s">
        <v>88</v>
      </c>
      <c r="D356" s="80">
        <v>80</v>
      </c>
    </row>
    <row r="357" spans="1:4" x14ac:dyDescent="0.3">
      <c r="A357" s="79">
        <v>41569</v>
      </c>
      <c r="B357" s="78" t="s">
        <v>69</v>
      </c>
      <c r="C357" s="78" t="s">
        <v>66</v>
      </c>
      <c r="D357" s="80">
        <v>349</v>
      </c>
    </row>
    <row r="358" spans="1:4" x14ac:dyDescent="0.3">
      <c r="A358" s="79">
        <v>41569</v>
      </c>
      <c r="B358" s="78" t="s">
        <v>63</v>
      </c>
      <c r="C358" s="78" t="s">
        <v>72</v>
      </c>
      <c r="D358" s="80">
        <v>342</v>
      </c>
    </row>
    <row r="359" spans="1:4" x14ac:dyDescent="0.3">
      <c r="A359" s="79">
        <v>41571</v>
      </c>
      <c r="B359" s="78" t="s">
        <v>63</v>
      </c>
      <c r="C359" s="78" t="s">
        <v>71</v>
      </c>
      <c r="D359" s="80">
        <v>540</v>
      </c>
    </row>
    <row r="360" spans="1:4" x14ac:dyDescent="0.3">
      <c r="A360" s="79">
        <v>41569</v>
      </c>
      <c r="B360" s="78" t="s">
        <v>69</v>
      </c>
      <c r="C360" s="78" t="s">
        <v>90</v>
      </c>
      <c r="D360" s="80">
        <v>411</v>
      </c>
    </row>
    <row r="361" spans="1:4" x14ac:dyDescent="0.3">
      <c r="A361" s="79">
        <v>41568</v>
      </c>
      <c r="B361" s="78" t="s">
        <v>63</v>
      </c>
      <c r="C361" s="78" t="s">
        <v>83</v>
      </c>
      <c r="D361" s="80">
        <v>632</v>
      </c>
    </row>
    <row r="362" spans="1:4" x14ac:dyDescent="0.3">
      <c r="A362" s="79">
        <v>41572</v>
      </c>
      <c r="B362" s="78" t="s">
        <v>63</v>
      </c>
      <c r="C362" s="78" t="s">
        <v>88</v>
      </c>
      <c r="D362" s="80">
        <v>175</v>
      </c>
    </row>
    <row r="363" spans="1:4" x14ac:dyDescent="0.3">
      <c r="A363" s="79">
        <v>41568</v>
      </c>
      <c r="B363" s="78" t="s">
        <v>69</v>
      </c>
      <c r="C363" s="78" t="s">
        <v>73</v>
      </c>
      <c r="D363" s="80">
        <v>606</v>
      </c>
    </row>
    <row r="364" spans="1:4" x14ac:dyDescent="0.3">
      <c r="A364" s="79">
        <v>41568</v>
      </c>
      <c r="B364" s="78" t="s">
        <v>67</v>
      </c>
      <c r="C364" s="78" t="s">
        <v>79</v>
      </c>
      <c r="D364" s="80">
        <v>658</v>
      </c>
    </row>
    <row r="365" spans="1:4" x14ac:dyDescent="0.3">
      <c r="A365" s="79">
        <v>41572</v>
      </c>
      <c r="B365" s="78" t="s">
        <v>69</v>
      </c>
      <c r="C365" s="78" t="s">
        <v>65</v>
      </c>
      <c r="D365" s="80">
        <v>268</v>
      </c>
    </row>
    <row r="366" spans="1:4" x14ac:dyDescent="0.3">
      <c r="A366" s="79">
        <v>41567</v>
      </c>
      <c r="B366" s="78" t="s">
        <v>67</v>
      </c>
      <c r="C366" s="78" t="s">
        <v>65</v>
      </c>
      <c r="D366" s="80">
        <v>556</v>
      </c>
    </row>
    <row r="367" spans="1:4" x14ac:dyDescent="0.3">
      <c r="A367" s="79">
        <v>41569</v>
      </c>
      <c r="B367" s="78" t="s">
        <v>67</v>
      </c>
      <c r="C367" s="78" t="s">
        <v>78</v>
      </c>
      <c r="D367" s="80">
        <v>208</v>
      </c>
    </row>
    <row r="368" spans="1:4" x14ac:dyDescent="0.3">
      <c r="A368" s="79">
        <v>41572</v>
      </c>
      <c r="B368" s="78" t="s">
        <v>69</v>
      </c>
      <c r="C368" s="78" t="s">
        <v>86</v>
      </c>
      <c r="D368" s="80">
        <v>559</v>
      </c>
    </row>
    <row r="369" spans="1:4" x14ac:dyDescent="0.3">
      <c r="A369" s="79">
        <v>41573</v>
      </c>
      <c r="B369" s="78" t="s">
        <v>69</v>
      </c>
      <c r="C369" s="78" t="s">
        <v>78</v>
      </c>
      <c r="D369" s="80">
        <v>530</v>
      </c>
    </row>
    <row r="370" spans="1:4" x14ac:dyDescent="0.3">
      <c r="A370" s="79">
        <v>41572</v>
      </c>
      <c r="B370" s="78" t="s">
        <v>69</v>
      </c>
      <c r="C370" s="78" t="s">
        <v>82</v>
      </c>
      <c r="D370" s="80">
        <v>663</v>
      </c>
    </row>
    <row r="371" spans="1:4" x14ac:dyDescent="0.3">
      <c r="A371" s="79">
        <v>41568</v>
      </c>
      <c r="B371" s="78" t="s">
        <v>67</v>
      </c>
      <c r="C371" s="78" t="s">
        <v>78</v>
      </c>
      <c r="D371" s="80">
        <v>31</v>
      </c>
    </row>
    <row r="372" spans="1:4" x14ac:dyDescent="0.3">
      <c r="A372" s="79">
        <v>41567</v>
      </c>
      <c r="B372" s="78" t="s">
        <v>63</v>
      </c>
      <c r="C372" s="78" t="s">
        <v>70</v>
      </c>
      <c r="D372" s="80">
        <v>587</v>
      </c>
    </row>
    <row r="373" spans="1:4" x14ac:dyDescent="0.3">
      <c r="A373" s="79">
        <v>41570</v>
      </c>
      <c r="B373" s="78" t="s">
        <v>69</v>
      </c>
      <c r="C373" s="78" t="s">
        <v>74</v>
      </c>
      <c r="D373" s="80">
        <v>280</v>
      </c>
    </row>
    <row r="374" spans="1:4" x14ac:dyDescent="0.3">
      <c r="A374" s="79">
        <v>41567</v>
      </c>
      <c r="B374" s="78" t="s">
        <v>67</v>
      </c>
      <c r="C374" s="78" t="s">
        <v>70</v>
      </c>
      <c r="D374" s="80">
        <v>488</v>
      </c>
    </row>
    <row r="375" spans="1:4" x14ac:dyDescent="0.3">
      <c r="A375" s="79">
        <v>41572</v>
      </c>
      <c r="B375" s="78" t="s">
        <v>69</v>
      </c>
      <c r="C375" s="78" t="s">
        <v>66</v>
      </c>
      <c r="D375" s="80">
        <v>609</v>
      </c>
    </row>
    <row r="376" spans="1:4" x14ac:dyDescent="0.3">
      <c r="A376" s="79">
        <v>41573</v>
      </c>
      <c r="B376" s="78" t="s">
        <v>67</v>
      </c>
      <c r="C376" s="78" t="s">
        <v>71</v>
      </c>
      <c r="D376" s="80">
        <v>375</v>
      </c>
    </row>
    <row r="377" spans="1:4" x14ac:dyDescent="0.3">
      <c r="A377" s="79">
        <v>41572</v>
      </c>
      <c r="B377" s="78" t="s">
        <v>67</v>
      </c>
      <c r="C377" s="78" t="s">
        <v>74</v>
      </c>
      <c r="D377" s="80">
        <v>474</v>
      </c>
    </row>
    <row r="378" spans="1:4" x14ac:dyDescent="0.3">
      <c r="A378" s="79">
        <v>41570</v>
      </c>
      <c r="B378" s="78" t="s">
        <v>69</v>
      </c>
      <c r="C378" s="78" t="s">
        <v>83</v>
      </c>
      <c r="D378" s="80">
        <v>323</v>
      </c>
    </row>
    <row r="379" spans="1:4" x14ac:dyDescent="0.3">
      <c r="A379" s="79">
        <v>41573</v>
      </c>
      <c r="B379" s="78" t="s">
        <v>69</v>
      </c>
      <c r="C379" s="78" t="s">
        <v>84</v>
      </c>
      <c r="D379" s="80">
        <v>650</v>
      </c>
    </row>
    <row r="380" spans="1:4" x14ac:dyDescent="0.3">
      <c r="A380" s="79">
        <v>41568</v>
      </c>
      <c r="B380" s="78" t="s">
        <v>67</v>
      </c>
      <c r="C380" s="78" t="s">
        <v>71</v>
      </c>
      <c r="D380" s="80">
        <v>505</v>
      </c>
    </row>
    <row r="381" spans="1:4" x14ac:dyDescent="0.3">
      <c r="A381" s="79">
        <v>41567</v>
      </c>
      <c r="B381" s="78" t="s">
        <v>69</v>
      </c>
      <c r="C381" s="78" t="s">
        <v>68</v>
      </c>
      <c r="D381" s="80">
        <v>114</v>
      </c>
    </row>
    <row r="382" spans="1:4" x14ac:dyDescent="0.3">
      <c r="A382" s="79">
        <v>41567</v>
      </c>
      <c r="B382" s="78" t="s">
        <v>69</v>
      </c>
      <c r="C382" s="78" t="s">
        <v>82</v>
      </c>
      <c r="D382" s="80">
        <v>483</v>
      </c>
    </row>
    <row r="383" spans="1:4" x14ac:dyDescent="0.3">
      <c r="A383" s="79">
        <v>41569</v>
      </c>
      <c r="B383" s="78" t="s">
        <v>63</v>
      </c>
      <c r="C383" s="78" t="s">
        <v>72</v>
      </c>
      <c r="D383" s="80">
        <v>444</v>
      </c>
    </row>
    <row r="384" spans="1:4" x14ac:dyDescent="0.3">
      <c r="A384" s="79">
        <v>41573</v>
      </c>
      <c r="B384" s="78" t="s">
        <v>69</v>
      </c>
      <c r="C384" s="78" t="s">
        <v>72</v>
      </c>
      <c r="D384" s="80">
        <v>642</v>
      </c>
    </row>
    <row r="385" spans="1:4" x14ac:dyDescent="0.3">
      <c r="A385" s="79">
        <v>41569</v>
      </c>
      <c r="B385" s="78" t="s">
        <v>69</v>
      </c>
      <c r="C385" s="78" t="s">
        <v>82</v>
      </c>
      <c r="D385" s="80">
        <v>241</v>
      </c>
    </row>
    <row r="386" spans="1:4" x14ac:dyDescent="0.3">
      <c r="A386" s="79">
        <v>41571</v>
      </c>
      <c r="B386" s="78" t="s">
        <v>69</v>
      </c>
      <c r="C386" s="78" t="s">
        <v>76</v>
      </c>
      <c r="D386" s="80">
        <v>444</v>
      </c>
    </row>
    <row r="387" spans="1:4" x14ac:dyDescent="0.3">
      <c r="A387" s="79">
        <v>41570</v>
      </c>
      <c r="B387" s="78" t="s">
        <v>67</v>
      </c>
      <c r="C387" s="78" t="s">
        <v>72</v>
      </c>
      <c r="D387" s="80">
        <v>270</v>
      </c>
    </row>
    <row r="388" spans="1:4" x14ac:dyDescent="0.3">
      <c r="A388" s="79">
        <v>41570</v>
      </c>
      <c r="B388" s="78" t="s">
        <v>67</v>
      </c>
      <c r="C388" s="78" t="s">
        <v>65</v>
      </c>
      <c r="D388" s="80">
        <v>608</v>
      </c>
    </row>
    <row r="389" spans="1:4" x14ac:dyDescent="0.3">
      <c r="A389" s="79">
        <v>41573</v>
      </c>
      <c r="B389" s="78" t="s">
        <v>63</v>
      </c>
      <c r="C389" s="78" t="s">
        <v>74</v>
      </c>
      <c r="D389" s="80">
        <v>498</v>
      </c>
    </row>
    <row r="390" spans="1:4" x14ac:dyDescent="0.3">
      <c r="A390" s="79">
        <v>41568</v>
      </c>
      <c r="B390" s="78" t="s">
        <v>67</v>
      </c>
      <c r="C390" s="78" t="s">
        <v>71</v>
      </c>
      <c r="D390" s="80">
        <v>100</v>
      </c>
    </row>
    <row r="391" spans="1:4" x14ac:dyDescent="0.3">
      <c r="A391" s="79">
        <v>41569</v>
      </c>
      <c r="B391" s="78" t="s">
        <v>67</v>
      </c>
      <c r="C391" s="78" t="s">
        <v>74</v>
      </c>
      <c r="D391" s="80">
        <v>379</v>
      </c>
    </row>
    <row r="392" spans="1:4" x14ac:dyDescent="0.3">
      <c r="A392" s="79">
        <v>41569</v>
      </c>
      <c r="B392" s="78" t="s">
        <v>69</v>
      </c>
      <c r="C392" s="78" t="s">
        <v>65</v>
      </c>
      <c r="D392" s="80">
        <v>332</v>
      </c>
    </row>
    <row r="393" spans="1:4" x14ac:dyDescent="0.3">
      <c r="A393" s="79">
        <v>41573</v>
      </c>
      <c r="B393" s="78" t="s">
        <v>67</v>
      </c>
      <c r="C393" s="78" t="s">
        <v>79</v>
      </c>
      <c r="D393" s="80">
        <v>13</v>
      </c>
    </row>
    <row r="394" spans="1:4" x14ac:dyDescent="0.3">
      <c r="A394" s="79">
        <v>41573</v>
      </c>
      <c r="B394" s="78" t="s">
        <v>69</v>
      </c>
      <c r="C394" s="78" t="s">
        <v>83</v>
      </c>
      <c r="D394" s="80">
        <v>456</v>
      </c>
    </row>
    <row r="395" spans="1:4" x14ac:dyDescent="0.3">
      <c r="A395" s="79">
        <v>41568</v>
      </c>
      <c r="B395" s="78" t="s">
        <v>69</v>
      </c>
      <c r="C395" s="78" t="s">
        <v>78</v>
      </c>
      <c r="D395" s="80">
        <v>249</v>
      </c>
    </row>
    <row r="396" spans="1:4" x14ac:dyDescent="0.3">
      <c r="A396" s="79">
        <v>41573</v>
      </c>
      <c r="B396" s="78" t="s">
        <v>63</v>
      </c>
      <c r="C396" s="78" t="s">
        <v>79</v>
      </c>
      <c r="D396" s="80">
        <v>324</v>
      </c>
    </row>
    <row r="397" spans="1:4" x14ac:dyDescent="0.3">
      <c r="A397" s="79">
        <v>41569</v>
      </c>
      <c r="B397" s="78" t="s">
        <v>63</v>
      </c>
      <c r="C397" s="78" t="s">
        <v>87</v>
      </c>
      <c r="D397" s="80">
        <v>423</v>
      </c>
    </row>
    <row r="398" spans="1:4" x14ac:dyDescent="0.3">
      <c r="A398" s="79">
        <v>41567</v>
      </c>
      <c r="B398" s="78" t="s">
        <v>63</v>
      </c>
      <c r="C398" s="78" t="s">
        <v>73</v>
      </c>
      <c r="D398" s="80">
        <v>220</v>
      </c>
    </row>
    <row r="399" spans="1:4" x14ac:dyDescent="0.3">
      <c r="A399" s="79">
        <v>41567</v>
      </c>
      <c r="B399" s="78" t="s">
        <v>69</v>
      </c>
      <c r="C399" s="78" t="s">
        <v>65</v>
      </c>
      <c r="D399" s="80">
        <v>47</v>
      </c>
    </row>
    <row r="400" spans="1:4" x14ac:dyDescent="0.3">
      <c r="A400" s="79">
        <v>41567</v>
      </c>
      <c r="B400" s="78" t="s">
        <v>63</v>
      </c>
      <c r="C400" s="78" t="s">
        <v>74</v>
      </c>
      <c r="D400" s="80">
        <v>651</v>
      </c>
    </row>
    <row r="401" spans="1:4" x14ac:dyDescent="0.3">
      <c r="A401" s="79">
        <v>41568</v>
      </c>
      <c r="B401" s="78" t="s">
        <v>63</v>
      </c>
      <c r="C401" s="78" t="s">
        <v>65</v>
      </c>
      <c r="D401" s="80">
        <v>89</v>
      </c>
    </row>
    <row r="402" spans="1:4" x14ac:dyDescent="0.3">
      <c r="A402" s="79">
        <v>41570</v>
      </c>
      <c r="B402" s="78" t="s">
        <v>69</v>
      </c>
      <c r="C402" s="78" t="s">
        <v>71</v>
      </c>
      <c r="D402" s="80">
        <v>590</v>
      </c>
    </row>
    <row r="403" spans="1:4" x14ac:dyDescent="0.3">
      <c r="A403" s="79">
        <v>41571</v>
      </c>
      <c r="B403" s="78" t="s">
        <v>67</v>
      </c>
      <c r="C403" s="78" t="s">
        <v>74</v>
      </c>
      <c r="D403" s="80">
        <v>681</v>
      </c>
    </row>
    <row r="404" spans="1:4" x14ac:dyDescent="0.3">
      <c r="A404" s="79">
        <v>41567</v>
      </c>
      <c r="B404" s="78" t="s">
        <v>67</v>
      </c>
      <c r="C404" s="78" t="s">
        <v>70</v>
      </c>
      <c r="D404" s="80">
        <v>538</v>
      </c>
    </row>
    <row r="405" spans="1:4" x14ac:dyDescent="0.3">
      <c r="A405" s="79">
        <v>41567</v>
      </c>
      <c r="B405" s="78" t="s">
        <v>63</v>
      </c>
      <c r="C405" s="78" t="s">
        <v>90</v>
      </c>
      <c r="D405" s="80">
        <v>562</v>
      </c>
    </row>
    <row r="406" spans="1:4" x14ac:dyDescent="0.3">
      <c r="A406" s="79">
        <v>41571</v>
      </c>
      <c r="B406" s="78" t="s">
        <v>67</v>
      </c>
      <c r="C406" s="78" t="s">
        <v>84</v>
      </c>
      <c r="D406" s="80">
        <v>97</v>
      </c>
    </row>
    <row r="407" spans="1:4" x14ac:dyDescent="0.3">
      <c r="A407" s="79">
        <v>41569</v>
      </c>
      <c r="B407" s="78" t="s">
        <v>69</v>
      </c>
      <c r="C407" s="78" t="s">
        <v>81</v>
      </c>
      <c r="D407" s="80">
        <v>583</v>
      </c>
    </row>
    <row r="408" spans="1:4" x14ac:dyDescent="0.3">
      <c r="A408" s="79">
        <v>41572</v>
      </c>
      <c r="B408" s="78" t="s">
        <v>67</v>
      </c>
      <c r="C408" s="78" t="s">
        <v>71</v>
      </c>
      <c r="D408" s="80">
        <v>268</v>
      </c>
    </row>
    <row r="409" spans="1:4" x14ac:dyDescent="0.3">
      <c r="A409" s="79">
        <v>41573</v>
      </c>
      <c r="B409" s="78" t="s">
        <v>67</v>
      </c>
      <c r="C409" s="78" t="s">
        <v>83</v>
      </c>
      <c r="D409" s="80">
        <v>443</v>
      </c>
    </row>
    <row r="410" spans="1:4" x14ac:dyDescent="0.3">
      <c r="A410" s="79">
        <v>41573</v>
      </c>
      <c r="B410" s="78" t="s">
        <v>63</v>
      </c>
      <c r="C410" s="78" t="s">
        <v>85</v>
      </c>
      <c r="D410" s="80">
        <v>455</v>
      </c>
    </row>
    <row r="411" spans="1:4" x14ac:dyDescent="0.3">
      <c r="A411" s="79">
        <v>41570</v>
      </c>
      <c r="B411" s="78" t="s">
        <v>69</v>
      </c>
      <c r="C411" s="78" t="s">
        <v>64</v>
      </c>
      <c r="D411" s="80">
        <v>663</v>
      </c>
    </row>
    <row r="412" spans="1:4" x14ac:dyDescent="0.3">
      <c r="A412" s="79">
        <v>41569</v>
      </c>
      <c r="B412" s="78" t="s">
        <v>63</v>
      </c>
      <c r="C412" s="78" t="s">
        <v>79</v>
      </c>
      <c r="D412" s="80">
        <v>518</v>
      </c>
    </row>
    <row r="413" spans="1:4" x14ac:dyDescent="0.3">
      <c r="A413" s="79">
        <v>41572</v>
      </c>
      <c r="B413" s="78" t="s">
        <v>63</v>
      </c>
      <c r="C413" s="78" t="s">
        <v>77</v>
      </c>
      <c r="D413" s="80">
        <v>621</v>
      </c>
    </row>
    <row r="414" spans="1:4" x14ac:dyDescent="0.3">
      <c r="A414" s="79">
        <v>41568</v>
      </c>
      <c r="B414" s="78" t="s">
        <v>67</v>
      </c>
      <c r="C414" s="78" t="s">
        <v>79</v>
      </c>
      <c r="D414" s="80">
        <v>645</v>
      </c>
    </row>
    <row r="415" spans="1:4" x14ac:dyDescent="0.3">
      <c r="A415" s="79">
        <v>41568</v>
      </c>
      <c r="B415" s="78" t="s">
        <v>69</v>
      </c>
      <c r="C415" s="78" t="s">
        <v>79</v>
      </c>
      <c r="D415" s="80">
        <v>131</v>
      </c>
    </row>
    <row r="416" spans="1:4" x14ac:dyDescent="0.3">
      <c r="A416" s="79">
        <v>41571</v>
      </c>
      <c r="B416" s="78" t="s">
        <v>69</v>
      </c>
      <c r="C416" s="78" t="s">
        <v>65</v>
      </c>
      <c r="D416" s="80">
        <v>130</v>
      </c>
    </row>
    <row r="417" spans="1:4" x14ac:dyDescent="0.3">
      <c r="A417" s="79">
        <v>41573</v>
      </c>
      <c r="B417" s="78" t="s">
        <v>63</v>
      </c>
      <c r="C417" s="78" t="s">
        <v>80</v>
      </c>
      <c r="D417" s="80">
        <v>415</v>
      </c>
    </row>
    <row r="418" spans="1:4" x14ac:dyDescent="0.3">
      <c r="A418" s="79">
        <v>41570</v>
      </c>
      <c r="B418" s="78" t="s">
        <v>69</v>
      </c>
      <c r="C418" s="78" t="s">
        <v>74</v>
      </c>
      <c r="D418" s="80">
        <v>119</v>
      </c>
    </row>
    <row r="419" spans="1:4" x14ac:dyDescent="0.3">
      <c r="A419" s="79">
        <v>41569</v>
      </c>
      <c r="B419" s="78" t="s">
        <v>69</v>
      </c>
      <c r="C419" s="78" t="s">
        <v>65</v>
      </c>
      <c r="D419" s="80">
        <v>307</v>
      </c>
    </row>
    <row r="420" spans="1:4" x14ac:dyDescent="0.3">
      <c r="A420" s="79">
        <v>41568</v>
      </c>
      <c r="B420" s="78" t="s">
        <v>69</v>
      </c>
      <c r="C420" s="78" t="s">
        <v>82</v>
      </c>
      <c r="D420" s="80">
        <v>472</v>
      </c>
    </row>
    <row r="421" spans="1:4" x14ac:dyDescent="0.3">
      <c r="A421" s="79">
        <v>41571</v>
      </c>
      <c r="B421" s="78" t="s">
        <v>69</v>
      </c>
      <c r="C421" s="78" t="s">
        <v>70</v>
      </c>
      <c r="D421" s="80">
        <v>136</v>
      </c>
    </row>
    <row r="422" spans="1:4" x14ac:dyDescent="0.3">
      <c r="A422" s="79">
        <v>41568</v>
      </c>
      <c r="B422" s="78" t="s">
        <v>67</v>
      </c>
      <c r="C422" s="78" t="s">
        <v>79</v>
      </c>
      <c r="D422" s="80">
        <v>586</v>
      </c>
    </row>
    <row r="423" spans="1:4" x14ac:dyDescent="0.3">
      <c r="A423" s="79">
        <v>41569</v>
      </c>
      <c r="B423" s="78" t="s">
        <v>63</v>
      </c>
      <c r="C423" s="78" t="s">
        <v>79</v>
      </c>
      <c r="D423" s="80">
        <v>215</v>
      </c>
    </row>
    <row r="424" spans="1:4" x14ac:dyDescent="0.3">
      <c r="A424" s="79">
        <v>41569</v>
      </c>
      <c r="B424" s="78" t="s">
        <v>67</v>
      </c>
      <c r="C424" s="78" t="s">
        <v>71</v>
      </c>
      <c r="D424" s="80">
        <v>562</v>
      </c>
    </row>
    <row r="425" spans="1:4" x14ac:dyDescent="0.3">
      <c r="A425" s="79">
        <v>41568</v>
      </c>
      <c r="B425" s="78" t="s">
        <v>69</v>
      </c>
      <c r="C425" s="78" t="s">
        <v>88</v>
      </c>
      <c r="D425" s="80">
        <v>662</v>
      </c>
    </row>
    <row r="426" spans="1:4" x14ac:dyDescent="0.3">
      <c r="A426" s="79">
        <v>41570</v>
      </c>
      <c r="B426" s="78" t="s">
        <v>69</v>
      </c>
      <c r="C426" s="78" t="s">
        <v>74</v>
      </c>
      <c r="D426" s="80">
        <v>419</v>
      </c>
    </row>
    <row r="427" spans="1:4" x14ac:dyDescent="0.3">
      <c r="A427" s="79">
        <v>41571</v>
      </c>
      <c r="B427" s="78" t="s">
        <v>63</v>
      </c>
      <c r="C427" s="78" t="s">
        <v>81</v>
      </c>
      <c r="D427" s="80">
        <v>508</v>
      </c>
    </row>
    <row r="428" spans="1:4" x14ac:dyDescent="0.3">
      <c r="A428" s="79">
        <v>41570</v>
      </c>
      <c r="B428" s="78" t="s">
        <v>69</v>
      </c>
      <c r="C428" s="78" t="s">
        <v>79</v>
      </c>
      <c r="D428" s="80">
        <v>170</v>
      </c>
    </row>
    <row r="429" spans="1:4" x14ac:dyDescent="0.3">
      <c r="A429" s="79">
        <v>41567</v>
      </c>
      <c r="B429" s="78" t="s">
        <v>69</v>
      </c>
      <c r="C429" s="78" t="s">
        <v>87</v>
      </c>
      <c r="D429" s="80">
        <v>586</v>
      </c>
    </row>
    <row r="430" spans="1:4" x14ac:dyDescent="0.3">
      <c r="A430" s="79">
        <v>41571</v>
      </c>
      <c r="B430" s="78" t="s">
        <v>69</v>
      </c>
      <c r="C430" s="78" t="s">
        <v>66</v>
      </c>
      <c r="D430" s="80">
        <v>219</v>
      </c>
    </row>
    <row r="431" spans="1:4" x14ac:dyDescent="0.3">
      <c r="A431" s="79">
        <v>41571</v>
      </c>
      <c r="B431" s="78" t="s">
        <v>69</v>
      </c>
      <c r="C431" s="78" t="s">
        <v>68</v>
      </c>
      <c r="D431" s="80">
        <v>339</v>
      </c>
    </row>
    <row r="432" spans="1:4" x14ac:dyDescent="0.3">
      <c r="A432" s="79">
        <v>41571</v>
      </c>
      <c r="B432" s="78" t="s">
        <v>69</v>
      </c>
      <c r="C432" s="78" t="s">
        <v>84</v>
      </c>
      <c r="D432" s="80">
        <v>198</v>
      </c>
    </row>
    <row r="433" spans="1:4" x14ac:dyDescent="0.3">
      <c r="A433" s="79">
        <v>41570</v>
      </c>
      <c r="B433" s="78" t="s">
        <v>67</v>
      </c>
      <c r="C433" s="78" t="s">
        <v>70</v>
      </c>
      <c r="D433" s="80">
        <v>674</v>
      </c>
    </row>
    <row r="434" spans="1:4" x14ac:dyDescent="0.3">
      <c r="A434" s="79">
        <v>41568</v>
      </c>
      <c r="B434" s="78" t="s">
        <v>67</v>
      </c>
      <c r="C434" s="78" t="s">
        <v>65</v>
      </c>
      <c r="D434" s="80">
        <v>399</v>
      </c>
    </row>
    <row r="435" spans="1:4" x14ac:dyDescent="0.3">
      <c r="A435" s="79">
        <v>41569</v>
      </c>
      <c r="B435" s="78" t="s">
        <v>67</v>
      </c>
      <c r="C435" s="78" t="s">
        <v>70</v>
      </c>
      <c r="D435" s="80">
        <v>615</v>
      </c>
    </row>
    <row r="436" spans="1:4" x14ac:dyDescent="0.3">
      <c r="A436" s="79">
        <v>41568</v>
      </c>
      <c r="B436" s="78" t="s">
        <v>67</v>
      </c>
      <c r="C436" s="78" t="s">
        <v>74</v>
      </c>
      <c r="D436" s="80">
        <v>107</v>
      </c>
    </row>
    <row r="437" spans="1:4" x14ac:dyDescent="0.3">
      <c r="A437" s="79">
        <v>41571</v>
      </c>
      <c r="B437" s="78" t="s">
        <v>67</v>
      </c>
      <c r="C437" s="78" t="s">
        <v>83</v>
      </c>
      <c r="D437" s="80">
        <v>199</v>
      </c>
    </row>
    <row r="438" spans="1:4" x14ac:dyDescent="0.3">
      <c r="A438" s="79">
        <v>41572</v>
      </c>
      <c r="B438" s="78" t="s">
        <v>63</v>
      </c>
      <c r="C438" s="78" t="s">
        <v>68</v>
      </c>
      <c r="D438" s="80">
        <v>23</v>
      </c>
    </row>
    <row r="439" spans="1:4" x14ac:dyDescent="0.3">
      <c r="A439" s="79">
        <v>41567</v>
      </c>
      <c r="B439" s="78" t="s">
        <v>69</v>
      </c>
      <c r="C439" s="78" t="s">
        <v>71</v>
      </c>
      <c r="D439" s="80">
        <v>297</v>
      </c>
    </row>
    <row r="440" spans="1:4" x14ac:dyDescent="0.3">
      <c r="A440" s="79">
        <v>41567</v>
      </c>
      <c r="B440" s="78" t="s">
        <v>67</v>
      </c>
      <c r="C440" s="78" t="s">
        <v>68</v>
      </c>
      <c r="D440" s="80">
        <v>273</v>
      </c>
    </row>
    <row r="441" spans="1:4" x14ac:dyDescent="0.3">
      <c r="A441" s="79">
        <v>41573</v>
      </c>
      <c r="B441" s="78" t="s">
        <v>63</v>
      </c>
      <c r="C441" s="78" t="s">
        <v>83</v>
      </c>
      <c r="D441" s="80">
        <v>281</v>
      </c>
    </row>
    <row r="442" spans="1:4" x14ac:dyDescent="0.3">
      <c r="A442" s="79">
        <v>41569</v>
      </c>
      <c r="B442" s="78" t="s">
        <v>69</v>
      </c>
      <c r="C442" s="78" t="s">
        <v>68</v>
      </c>
      <c r="D442" s="80">
        <v>227</v>
      </c>
    </row>
    <row r="443" spans="1:4" x14ac:dyDescent="0.3">
      <c r="A443" s="79">
        <v>41573</v>
      </c>
      <c r="B443" s="78" t="s">
        <v>67</v>
      </c>
      <c r="C443" s="78" t="s">
        <v>66</v>
      </c>
      <c r="D443" s="80">
        <v>156</v>
      </c>
    </row>
    <row r="444" spans="1:4" x14ac:dyDescent="0.3">
      <c r="A444" s="79">
        <v>41572</v>
      </c>
      <c r="B444" s="78" t="s">
        <v>69</v>
      </c>
      <c r="C444" s="78" t="s">
        <v>68</v>
      </c>
      <c r="D444" s="80">
        <v>534</v>
      </c>
    </row>
    <row r="445" spans="1:4" x14ac:dyDescent="0.3">
      <c r="A445" s="79">
        <v>41569</v>
      </c>
      <c r="B445" s="78" t="s">
        <v>69</v>
      </c>
      <c r="C445" s="78" t="s">
        <v>65</v>
      </c>
      <c r="D445" s="80">
        <v>459</v>
      </c>
    </row>
    <row r="446" spans="1:4" x14ac:dyDescent="0.3">
      <c r="A446" s="79">
        <v>41568</v>
      </c>
      <c r="B446" s="78" t="s">
        <v>69</v>
      </c>
      <c r="C446" s="78" t="s">
        <v>66</v>
      </c>
      <c r="D446" s="80">
        <v>131</v>
      </c>
    </row>
    <row r="447" spans="1:4" x14ac:dyDescent="0.3">
      <c r="A447" s="79">
        <v>41567</v>
      </c>
      <c r="B447" s="78" t="s">
        <v>63</v>
      </c>
      <c r="C447" s="78" t="s">
        <v>66</v>
      </c>
      <c r="D447" s="80">
        <v>339</v>
      </c>
    </row>
    <row r="448" spans="1:4" x14ac:dyDescent="0.3">
      <c r="A448" s="79">
        <v>41568</v>
      </c>
      <c r="B448" s="78" t="s">
        <v>67</v>
      </c>
      <c r="C448" s="78" t="s">
        <v>88</v>
      </c>
      <c r="D448" s="80">
        <v>634</v>
      </c>
    </row>
    <row r="449" spans="1:4" x14ac:dyDescent="0.3">
      <c r="A449" s="79">
        <v>41568</v>
      </c>
      <c r="B449" s="78" t="s">
        <v>67</v>
      </c>
      <c r="C449" s="78" t="s">
        <v>70</v>
      </c>
      <c r="D449" s="80">
        <v>450</v>
      </c>
    </row>
    <row r="450" spans="1:4" x14ac:dyDescent="0.3">
      <c r="A450" s="79">
        <v>41572</v>
      </c>
      <c r="B450" s="78" t="s">
        <v>63</v>
      </c>
      <c r="C450" s="78" t="s">
        <v>89</v>
      </c>
      <c r="D450" s="80">
        <v>65</v>
      </c>
    </row>
    <row r="451" spans="1:4" x14ac:dyDescent="0.3">
      <c r="A451" s="79">
        <v>41573</v>
      </c>
      <c r="B451" s="78" t="s">
        <v>69</v>
      </c>
      <c r="C451" s="78" t="s">
        <v>78</v>
      </c>
      <c r="D451" s="80">
        <v>530</v>
      </c>
    </row>
    <row r="452" spans="1:4" x14ac:dyDescent="0.3">
      <c r="A452" s="79">
        <v>41569</v>
      </c>
      <c r="B452" s="78" t="s">
        <v>69</v>
      </c>
      <c r="C452" s="78" t="s">
        <v>70</v>
      </c>
      <c r="D452" s="80">
        <v>74</v>
      </c>
    </row>
    <row r="453" spans="1:4" x14ac:dyDescent="0.3">
      <c r="A453" s="79">
        <v>41573</v>
      </c>
      <c r="B453" s="78" t="s">
        <v>69</v>
      </c>
      <c r="C453" s="78" t="s">
        <v>86</v>
      </c>
      <c r="D453" s="80">
        <v>93</v>
      </c>
    </row>
    <row r="454" spans="1:4" x14ac:dyDescent="0.3">
      <c r="A454" s="79">
        <v>41568</v>
      </c>
      <c r="B454" s="78" t="s">
        <v>67</v>
      </c>
      <c r="C454" s="78" t="s">
        <v>90</v>
      </c>
      <c r="D454" s="80">
        <v>337</v>
      </c>
    </row>
    <row r="455" spans="1:4" x14ac:dyDescent="0.3">
      <c r="A455" s="79">
        <v>41567</v>
      </c>
      <c r="B455" s="78" t="s">
        <v>67</v>
      </c>
      <c r="C455" s="78" t="s">
        <v>79</v>
      </c>
      <c r="D455" s="80">
        <v>583</v>
      </c>
    </row>
    <row r="456" spans="1:4" x14ac:dyDescent="0.3">
      <c r="A456" s="79">
        <v>41570</v>
      </c>
      <c r="B456" s="78" t="s">
        <v>63</v>
      </c>
      <c r="C456" s="78" t="s">
        <v>66</v>
      </c>
      <c r="D456" s="80">
        <v>374</v>
      </c>
    </row>
    <row r="457" spans="1:4" x14ac:dyDescent="0.3">
      <c r="A457" s="79">
        <v>41569</v>
      </c>
      <c r="B457" s="78" t="s">
        <v>67</v>
      </c>
      <c r="C457" s="78" t="s">
        <v>65</v>
      </c>
      <c r="D457" s="80">
        <v>243</v>
      </c>
    </row>
    <row r="458" spans="1:4" x14ac:dyDescent="0.3">
      <c r="A458" s="79">
        <v>41568</v>
      </c>
      <c r="B458" s="78" t="s">
        <v>63</v>
      </c>
      <c r="C458" s="78" t="s">
        <v>73</v>
      </c>
      <c r="D458" s="80">
        <v>225</v>
      </c>
    </row>
    <row r="459" spans="1:4" x14ac:dyDescent="0.3">
      <c r="A459" s="79">
        <v>41573</v>
      </c>
      <c r="B459" s="78" t="s">
        <v>69</v>
      </c>
      <c r="C459" s="78" t="s">
        <v>74</v>
      </c>
      <c r="D459" s="80">
        <v>160</v>
      </c>
    </row>
    <row r="460" spans="1:4" x14ac:dyDescent="0.3">
      <c r="A460" s="79">
        <v>41568</v>
      </c>
      <c r="B460" s="78" t="s">
        <v>63</v>
      </c>
      <c r="C460" s="78" t="s">
        <v>78</v>
      </c>
      <c r="D460" s="80">
        <v>502</v>
      </c>
    </row>
    <row r="461" spans="1:4" x14ac:dyDescent="0.3">
      <c r="A461" s="79">
        <v>41572</v>
      </c>
      <c r="B461" s="78" t="s">
        <v>67</v>
      </c>
      <c r="C461" s="78" t="s">
        <v>68</v>
      </c>
      <c r="D461" s="80">
        <v>221</v>
      </c>
    </row>
    <row r="462" spans="1:4" x14ac:dyDescent="0.3">
      <c r="A462" s="79">
        <v>41568</v>
      </c>
      <c r="B462" s="78" t="s">
        <v>69</v>
      </c>
      <c r="C462" s="78" t="s">
        <v>80</v>
      </c>
      <c r="D462" s="80">
        <v>516</v>
      </c>
    </row>
    <row r="463" spans="1:4" x14ac:dyDescent="0.3">
      <c r="A463" s="79">
        <v>41573</v>
      </c>
      <c r="B463" s="78" t="s">
        <v>63</v>
      </c>
      <c r="C463" s="78" t="s">
        <v>74</v>
      </c>
      <c r="D463" s="80">
        <v>678</v>
      </c>
    </row>
    <row r="464" spans="1:4" x14ac:dyDescent="0.3">
      <c r="A464" s="79">
        <v>41569</v>
      </c>
      <c r="B464" s="78" t="s">
        <v>67</v>
      </c>
      <c r="C464" s="78" t="s">
        <v>72</v>
      </c>
      <c r="D464" s="80">
        <v>637</v>
      </c>
    </row>
    <row r="465" spans="1:4" x14ac:dyDescent="0.3">
      <c r="A465" s="79">
        <v>41568</v>
      </c>
      <c r="B465" s="78" t="s">
        <v>67</v>
      </c>
      <c r="C465" s="78" t="s">
        <v>74</v>
      </c>
      <c r="D465" s="80">
        <v>525</v>
      </c>
    </row>
    <row r="466" spans="1:4" x14ac:dyDescent="0.3">
      <c r="A466" s="79">
        <v>41572</v>
      </c>
      <c r="B466" s="78" t="s">
        <v>69</v>
      </c>
      <c r="C466" s="78" t="s">
        <v>72</v>
      </c>
      <c r="D466" s="80">
        <v>540</v>
      </c>
    </row>
    <row r="467" spans="1:4" x14ac:dyDescent="0.3">
      <c r="A467" s="79">
        <v>41570</v>
      </c>
      <c r="B467" s="78" t="s">
        <v>63</v>
      </c>
      <c r="C467" s="78" t="s">
        <v>65</v>
      </c>
      <c r="D467" s="80">
        <v>245</v>
      </c>
    </row>
    <row r="468" spans="1:4" x14ac:dyDescent="0.3">
      <c r="A468" s="79">
        <v>41567</v>
      </c>
      <c r="B468" s="78" t="s">
        <v>67</v>
      </c>
      <c r="C468" s="78" t="s">
        <v>72</v>
      </c>
      <c r="D468" s="80">
        <v>290</v>
      </c>
    </row>
    <row r="469" spans="1:4" x14ac:dyDescent="0.3">
      <c r="A469" s="79">
        <v>41568</v>
      </c>
      <c r="B469" s="78" t="s">
        <v>69</v>
      </c>
      <c r="C469" s="78" t="s">
        <v>68</v>
      </c>
      <c r="D469" s="80">
        <v>376</v>
      </c>
    </row>
    <row r="470" spans="1:4" x14ac:dyDescent="0.3">
      <c r="A470" s="79">
        <v>41569</v>
      </c>
      <c r="B470" s="78" t="s">
        <v>69</v>
      </c>
      <c r="C470" s="78" t="s">
        <v>65</v>
      </c>
      <c r="D470" s="80">
        <v>226</v>
      </c>
    </row>
    <row r="471" spans="1:4" x14ac:dyDescent="0.3">
      <c r="A471" s="79">
        <v>41573</v>
      </c>
      <c r="B471" s="78" t="s">
        <v>67</v>
      </c>
      <c r="C471" s="78" t="s">
        <v>66</v>
      </c>
      <c r="D471" s="80">
        <v>38</v>
      </c>
    </row>
    <row r="472" spans="1:4" x14ac:dyDescent="0.3">
      <c r="A472" s="79">
        <v>41570</v>
      </c>
      <c r="B472" s="78" t="s">
        <v>67</v>
      </c>
      <c r="C472" s="78" t="s">
        <v>71</v>
      </c>
      <c r="D472" s="80">
        <v>283</v>
      </c>
    </row>
    <row r="473" spans="1:4" x14ac:dyDescent="0.3">
      <c r="A473" s="79">
        <v>41568</v>
      </c>
      <c r="B473" s="78" t="s">
        <v>63</v>
      </c>
      <c r="C473" s="78" t="s">
        <v>70</v>
      </c>
      <c r="D473" s="80">
        <v>480</v>
      </c>
    </row>
    <row r="474" spans="1:4" x14ac:dyDescent="0.3">
      <c r="A474" s="79">
        <v>41568</v>
      </c>
      <c r="B474" s="78" t="s">
        <v>63</v>
      </c>
      <c r="C474" s="78" t="s">
        <v>75</v>
      </c>
      <c r="D474" s="80">
        <v>482</v>
      </c>
    </row>
    <row r="475" spans="1:4" x14ac:dyDescent="0.3">
      <c r="A475" s="79">
        <v>41573</v>
      </c>
      <c r="B475" s="78" t="s">
        <v>69</v>
      </c>
      <c r="C475" s="78" t="s">
        <v>65</v>
      </c>
      <c r="D475" s="80">
        <v>37</v>
      </c>
    </row>
    <row r="476" spans="1:4" x14ac:dyDescent="0.3">
      <c r="A476" s="79">
        <v>41570</v>
      </c>
      <c r="B476" s="78" t="s">
        <v>69</v>
      </c>
      <c r="C476" s="78" t="s">
        <v>78</v>
      </c>
      <c r="D476" s="80">
        <v>279</v>
      </c>
    </row>
    <row r="477" spans="1:4" x14ac:dyDescent="0.3">
      <c r="A477" s="79">
        <v>41570</v>
      </c>
      <c r="B477" s="78" t="s">
        <v>63</v>
      </c>
      <c r="C477" s="78" t="s">
        <v>79</v>
      </c>
      <c r="D477" s="80">
        <v>152</v>
      </c>
    </row>
    <row r="478" spans="1:4" x14ac:dyDescent="0.3">
      <c r="A478" s="79">
        <v>41567</v>
      </c>
      <c r="B478" s="78" t="s">
        <v>67</v>
      </c>
      <c r="C478" s="78" t="s">
        <v>88</v>
      </c>
      <c r="D478" s="80">
        <v>419</v>
      </c>
    </row>
    <row r="479" spans="1:4" x14ac:dyDescent="0.3">
      <c r="A479" s="79">
        <v>41570</v>
      </c>
      <c r="B479" s="78" t="s">
        <v>63</v>
      </c>
      <c r="C479" s="78" t="s">
        <v>82</v>
      </c>
      <c r="D479" s="80">
        <v>652</v>
      </c>
    </row>
    <row r="480" spans="1:4" x14ac:dyDescent="0.3">
      <c r="A480" s="79">
        <v>41568</v>
      </c>
      <c r="B480" s="78" t="s">
        <v>69</v>
      </c>
      <c r="C480" s="78" t="s">
        <v>68</v>
      </c>
      <c r="D480" s="80">
        <v>151</v>
      </c>
    </row>
    <row r="481" spans="1:4" x14ac:dyDescent="0.3">
      <c r="A481" s="79">
        <v>41567</v>
      </c>
      <c r="B481" s="78" t="s">
        <v>67</v>
      </c>
      <c r="C481" s="78" t="s">
        <v>70</v>
      </c>
      <c r="D481" s="80">
        <v>99</v>
      </c>
    </row>
    <row r="482" spans="1:4" x14ac:dyDescent="0.3">
      <c r="A482" s="79">
        <v>41572</v>
      </c>
      <c r="B482" s="78" t="s">
        <v>67</v>
      </c>
      <c r="C482" s="78" t="s">
        <v>72</v>
      </c>
      <c r="D482" s="80">
        <v>432</v>
      </c>
    </row>
    <row r="483" spans="1:4" x14ac:dyDescent="0.3">
      <c r="A483" s="79">
        <v>41568</v>
      </c>
      <c r="B483" s="78" t="s">
        <v>67</v>
      </c>
      <c r="C483" s="78" t="s">
        <v>70</v>
      </c>
      <c r="D483" s="80">
        <v>174</v>
      </c>
    </row>
    <row r="484" spans="1:4" x14ac:dyDescent="0.3">
      <c r="A484" s="79">
        <v>41570</v>
      </c>
      <c r="B484" s="78" t="s">
        <v>67</v>
      </c>
      <c r="C484" s="78" t="s">
        <v>90</v>
      </c>
      <c r="D484" s="80">
        <v>209</v>
      </c>
    </row>
    <row r="485" spans="1:4" x14ac:dyDescent="0.3">
      <c r="A485" s="79">
        <v>41570</v>
      </c>
      <c r="B485" s="78" t="s">
        <v>67</v>
      </c>
      <c r="C485" s="78" t="s">
        <v>72</v>
      </c>
      <c r="D485" s="80">
        <v>261</v>
      </c>
    </row>
    <row r="486" spans="1:4" x14ac:dyDescent="0.3">
      <c r="A486" s="79">
        <v>41573</v>
      </c>
      <c r="B486" s="78" t="s">
        <v>69</v>
      </c>
      <c r="C486" s="78" t="s">
        <v>72</v>
      </c>
      <c r="D486" s="80">
        <v>633</v>
      </c>
    </row>
    <row r="487" spans="1:4" x14ac:dyDescent="0.3">
      <c r="A487" s="79">
        <v>41573</v>
      </c>
      <c r="B487" s="78" t="s">
        <v>63</v>
      </c>
      <c r="C487" s="78" t="s">
        <v>78</v>
      </c>
      <c r="D487" s="80">
        <v>308</v>
      </c>
    </row>
    <row r="488" spans="1:4" x14ac:dyDescent="0.3">
      <c r="A488" s="79">
        <v>41573</v>
      </c>
      <c r="B488" s="78" t="s">
        <v>63</v>
      </c>
      <c r="C488" s="78" t="s">
        <v>72</v>
      </c>
      <c r="D488" s="80">
        <v>319</v>
      </c>
    </row>
    <row r="489" spans="1:4" x14ac:dyDescent="0.3">
      <c r="A489" s="79">
        <v>41567</v>
      </c>
      <c r="B489" s="78" t="s">
        <v>63</v>
      </c>
      <c r="C489" s="78" t="s">
        <v>88</v>
      </c>
      <c r="D489" s="80">
        <v>400</v>
      </c>
    </row>
    <row r="490" spans="1:4" x14ac:dyDescent="0.3">
      <c r="A490" s="79">
        <v>41571</v>
      </c>
      <c r="B490" s="78" t="s">
        <v>63</v>
      </c>
      <c r="C490" s="78" t="s">
        <v>81</v>
      </c>
      <c r="D490" s="80">
        <v>20</v>
      </c>
    </row>
    <row r="491" spans="1:4" x14ac:dyDescent="0.3">
      <c r="A491" s="79">
        <v>41573</v>
      </c>
      <c r="B491" s="78" t="s">
        <v>67</v>
      </c>
      <c r="C491" s="78" t="s">
        <v>66</v>
      </c>
      <c r="D491" s="80">
        <v>151</v>
      </c>
    </row>
    <row r="492" spans="1:4" x14ac:dyDescent="0.3">
      <c r="A492" s="79">
        <v>41568</v>
      </c>
      <c r="B492" s="78" t="s">
        <v>69</v>
      </c>
      <c r="C492" s="78" t="s">
        <v>81</v>
      </c>
      <c r="D492" s="80">
        <v>345</v>
      </c>
    </row>
    <row r="493" spans="1:4" x14ac:dyDescent="0.3">
      <c r="A493" s="79">
        <v>41571</v>
      </c>
      <c r="B493" s="78" t="s">
        <v>69</v>
      </c>
      <c r="C493" s="78" t="s">
        <v>78</v>
      </c>
      <c r="D493" s="80">
        <v>78</v>
      </c>
    </row>
    <row r="494" spans="1:4" x14ac:dyDescent="0.3">
      <c r="A494" s="79">
        <v>41570</v>
      </c>
      <c r="B494" s="78" t="s">
        <v>63</v>
      </c>
      <c r="C494" s="78" t="s">
        <v>70</v>
      </c>
      <c r="D494" s="80">
        <v>81</v>
      </c>
    </row>
    <row r="495" spans="1:4" x14ac:dyDescent="0.3">
      <c r="A495" s="79">
        <v>41570</v>
      </c>
      <c r="B495" s="78" t="s">
        <v>63</v>
      </c>
      <c r="C495" s="78" t="s">
        <v>71</v>
      </c>
      <c r="D495" s="80">
        <v>563</v>
      </c>
    </row>
    <row r="496" spans="1:4" x14ac:dyDescent="0.3">
      <c r="A496" s="79">
        <v>41567</v>
      </c>
      <c r="B496" s="78" t="s">
        <v>69</v>
      </c>
      <c r="C496" s="78" t="s">
        <v>71</v>
      </c>
      <c r="D496" s="80">
        <v>344</v>
      </c>
    </row>
    <row r="497" spans="1:4" x14ac:dyDescent="0.3">
      <c r="A497" s="79">
        <v>41570</v>
      </c>
      <c r="B497" s="78" t="s">
        <v>63</v>
      </c>
      <c r="C497" s="78" t="s">
        <v>72</v>
      </c>
      <c r="D497" s="80">
        <v>103</v>
      </c>
    </row>
    <row r="498" spans="1:4" x14ac:dyDescent="0.3">
      <c r="A498" s="79">
        <v>41567</v>
      </c>
      <c r="B498" s="78" t="s">
        <v>69</v>
      </c>
      <c r="C498" s="78" t="s">
        <v>78</v>
      </c>
      <c r="D498" s="80">
        <v>378</v>
      </c>
    </row>
    <row r="499" spans="1:4" x14ac:dyDescent="0.3">
      <c r="A499" s="79">
        <v>41573</v>
      </c>
      <c r="B499" s="78" t="s">
        <v>63</v>
      </c>
      <c r="C499" s="78" t="s">
        <v>72</v>
      </c>
      <c r="D499" s="80">
        <v>546</v>
      </c>
    </row>
    <row r="500" spans="1:4" x14ac:dyDescent="0.3">
      <c r="A500" s="79">
        <v>41570</v>
      </c>
      <c r="B500" s="78" t="s">
        <v>63</v>
      </c>
      <c r="C500" s="78" t="s">
        <v>66</v>
      </c>
      <c r="D500" s="80">
        <v>649</v>
      </c>
    </row>
    <row r="501" spans="1:4" x14ac:dyDescent="0.3">
      <c r="A501" s="79">
        <v>41568</v>
      </c>
      <c r="B501" s="78" t="s">
        <v>67</v>
      </c>
      <c r="C501" s="78" t="s">
        <v>71</v>
      </c>
      <c r="D501" s="80">
        <v>387</v>
      </c>
    </row>
    <row r="502" spans="1:4" x14ac:dyDescent="0.3">
      <c r="A502" s="79">
        <v>41567</v>
      </c>
      <c r="B502" s="78" t="s">
        <v>63</v>
      </c>
      <c r="C502" s="78" t="s">
        <v>65</v>
      </c>
      <c r="D502" s="80">
        <v>468</v>
      </c>
    </row>
    <row r="503" spans="1:4" x14ac:dyDescent="0.3">
      <c r="A503" s="79">
        <v>41569</v>
      </c>
      <c r="B503" s="78" t="s">
        <v>69</v>
      </c>
      <c r="C503" s="78" t="s">
        <v>78</v>
      </c>
      <c r="D503" s="80">
        <v>36</v>
      </c>
    </row>
    <row r="504" spans="1:4" x14ac:dyDescent="0.3">
      <c r="A504" s="79">
        <v>41570</v>
      </c>
      <c r="B504" s="78" t="s">
        <v>69</v>
      </c>
      <c r="C504" s="78" t="s">
        <v>83</v>
      </c>
      <c r="D504" s="80">
        <v>576</v>
      </c>
    </row>
    <row r="505" spans="1:4" x14ac:dyDescent="0.3">
      <c r="A505" s="79">
        <v>41571</v>
      </c>
      <c r="B505" s="78" t="s">
        <v>67</v>
      </c>
      <c r="C505" s="78" t="s">
        <v>66</v>
      </c>
      <c r="D505" s="80">
        <v>304</v>
      </c>
    </row>
    <row r="506" spans="1:4" x14ac:dyDescent="0.3">
      <c r="A506" s="79">
        <v>41570</v>
      </c>
      <c r="B506" s="78" t="s">
        <v>67</v>
      </c>
      <c r="C506" s="78" t="s">
        <v>81</v>
      </c>
      <c r="D506" s="80">
        <v>648</v>
      </c>
    </row>
    <row r="507" spans="1:4" x14ac:dyDescent="0.3">
      <c r="A507" s="79">
        <v>41568</v>
      </c>
      <c r="B507" s="78" t="s">
        <v>69</v>
      </c>
      <c r="C507" s="78" t="s">
        <v>83</v>
      </c>
      <c r="D507" s="80">
        <v>624</v>
      </c>
    </row>
    <row r="508" spans="1:4" x14ac:dyDescent="0.3">
      <c r="A508" s="79">
        <v>41570</v>
      </c>
      <c r="B508" s="78" t="s">
        <v>69</v>
      </c>
      <c r="C508" s="78" t="s">
        <v>71</v>
      </c>
      <c r="D508" s="80">
        <v>199</v>
      </c>
    </row>
    <row r="509" spans="1:4" x14ac:dyDescent="0.3">
      <c r="A509" s="79">
        <v>41569</v>
      </c>
      <c r="B509" s="78" t="s">
        <v>63</v>
      </c>
      <c r="C509" s="78" t="s">
        <v>79</v>
      </c>
      <c r="D509" s="80">
        <v>21</v>
      </c>
    </row>
    <row r="510" spans="1:4" x14ac:dyDescent="0.3">
      <c r="A510" s="79">
        <v>41570</v>
      </c>
      <c r="B510" s="78" t="s">
        <v>67</v>
      </c>
      <c r="C510" s="78" t="s">
        <v>85</v>
      </c>
      <c r="D510" s="80">
        <v>173</v>
      </c>
    </row>
    <row r="511" spans="1:4" x14ac:dyDescent="0.3">
      <c r="A511" s="79">
        <v>41570</v>
      </c>
      <c r="B511" s="78" t="s">
        <v>67</v>
      </c>
      <c r="C511" s="78" t="s">
        <v>70</v>
      </c>
      <c r="D511" s="80">
        <v>149</v>
      </c>
    </row>
    <row r="512" spans="1:4" x14ac:dyDescent="0.3">
      <c r="A512" s="79">
        <v>41571</v>
      </c>
      <c r="B512" s="78" t="s">
        <v>63</v>
      </c>
      <c r="C512" s="78" t="s">
        <v>66</v>
      </c>
      <c r="D512" s="80">
        <v>294</v>
      </c>
    </row>
    <row r="513" spans="1:4" x14ac:dyDescent="0.3">
      <c r="A513" s="79">
        <v>41567</v>
      </c>
      <c r="B513" s="78" t="s">
        <v>69</v>
      </c>
      <c r="C513" s="78" t="s">
        <v>68</v>
      </c>
      <c r="D513" s="80">
        <v>225</v>
      </c>
    </row>
    <row r="514" spans="1:4" x14ac:dyDescent="0.3">
      <c r="A514" s="79">
        <v>41569</v>
      </c>
      <c r="B514" s="78" t="s">
        <v>69</v>
      </c>
      <c r="C514" s="78" t="s">
        <v>87</v>
      </c>
      <c r="D514" s="80">
        <v>276</v>
      </c>
    </row>
    <row r="515" spans="1:4" x14ac:dyDescent="0.3">
      <c r="A515" s="79">
        <v>41569</v>
      </c>
      <c r="B515" s="78" t="s">
        <v>67</v>
      </c>
      <c r="C515" s="78" t="s">
        <v>74</v>
      </c>
      <c r="D515" s="80">
        <v>666</v>
      </c>
    </row>
    <row r="516" spans="1:4" x14ac:dyDescent="0.3">
      <c r="A516" s="79">
        <v>41570</v>
      </c>
      <c r="B516" s="78" t="s">
        <v>63</v>
      </c>
      <c r="C516" s="78" t="s">
        <v>64</v>
      </c>
      <c r="D516" s="80">
        <v>616</v>
      </c>
    </row>
    <row r="517" spans="1:4" x14ac:dyDescent="0.3">
      <c r="A517" s="79">
        <v>41568</v>
      </c>
      <c r="B517" s="78" t="s">
        <v>67</v>
      </c>
      <c r="C517" s="78" t="s">
        <v>66</v>
      </c>
      <c r="D517" s="80">
        <v>307</v>
      </c>
    </row>
    <row r="518" spans="1:4" x14ac:dyDescent="0.3">
      <c r="A518" s="79">
        <v>41570</v>
      </c>
      <c r="B518" s="78" t="s">
        <v>69</v>
      </c>
      <c r="C518" s="78" t="s">
        <v>70</v>
      </c>
      <c r="D518" s="80">
        <v>140</v>
      </c>
    </row>
    <row r="519" spans="1:4" x14ac:dyDescent="0.3">
      <c r="A519" s="79">
        <v>41571</v>
      </c>
      <c r="B519" s="78" t="s">
        <v>63</v>
      </c>
      <c r="C519" s="78" t="s">
        <v>66</v>
      </c>
      <c r="D519" s="80">
        <v>632</v>
      </c>
    </row>
    <row r="520" spans="1:4" x14ac:dyDescent="0.3">
      <c r="A520" s="79">
        <v>41572</v>
      </c>
      <c r="B520" s="78" t="s">
        <v>63</v>
      </c>
      <c r="C520" s="78" t="s">
        <v>72</v>
      </c>
      <c r="D520" s="80">
        <v>461</v>
      </c>
    </row>
    <row r="521" spans="1:4" x14ac:dyDescent="0.3">
      <c r="A521" s="79">
        <v>41568</v>
      </c>
      <c r="B521" s="78" t="s">
        <v>63</v>
      </c>
      <c r="C521" s="78" t="s">
        <v>78</v>
      </c>
      <c r="D521" s="80">
        <v>656</v>
      </c>
    </row>
    <row r="522" spans="1:4" x14ac:dyDescent="0.3">
      <c r="A522" s="79">
        <v>41569</v>
      </c>
      <c r="B522" s="78" t="s">
        <v>63</v>
      </c>
      <c r="C522" s="78" t="s">
        <v>81</v>
      </c>
      <c r="D522" s="80">
        <v>158</v>
      </c>
    </row>
    <row r="523" spans="1:4" x14ac:dyDescent="0.3">
      <c r="A523" s="79">
        <v>41570</v>
      </c>
      <c r="B523" s="78" t="s">
        <v>67</v>
      </c>
      <c r="C523" s="78" t="s">
        <v>79</v>
      </c>
      <c r="D523" s="80">
        <v>663</v>
      </c>
    </row>
    <row r="524" spans="1:4" x14ac:dyDescent="0.3">
      <c r="A524" s="79">
        <v>41571</v>
      </c>
      <c r="B524" s="78" t="s">
        <v>69</v>
      </c>
      <c r="C524" s="78" t="s">
        <v>65</v>
      </c>
      <c r="D524" s="80">
        <v>555</v>
      </c>
    </row>
    <row r="525" spans="1:4" x14ac:dyDescent="0.3">
      <c r="A525" s="79">
        <v>41570</v>
      </c>
      <c r="B525" s="78" t="s">
        <v>63</v>
      </c>
      <c r="C525" s="78" t="s">
        <v>76</v>
      </c>
      <c r="D525" s="80">
        <v>489</v>
      </c>
    </row>
    <row r="526" spans="1:4" x14ac:dyDescent="0.3">
      <c r="A526" s="79">
        <v>41569</v>
      </c>
      <c r="B526" s="78" t="s">
        <v>63</v>
      </c>
      <c r="C526" s="78" t="s">
        <v>65</v>
      </c>
      <c r="D526" s="80">
        <v>212</v>
      </c>
    </row>
    <row r="527" spans="1:4" x14ac:dyDescent="0.3">
      <c r="A527" s="79">
        <v>41567</v>
      </c>
      <c r="B527" s="78" t="s">
        <v>69</v>
      </c>
      <c r="C527" s="78" t="s">
        <v>64</v>
      </c>
      <c r="D527" s="80">
        <v>411</v>
      </c>
    </row>
    <row r="528" spans="1:4" x14ac:dyDescent="0.3">
      <c r="A528" s="79">
        <v>41570</v>
      </c>
      <c r="B528" s="78" t="s">
        <v>67</v>
      </c>
      <c r="C528" s="78" t="s">
        <v>66</v>
      </c>
      <c r="D528" s="80">
        <v>343</v>
      </c>
    </row>
    <row r="529" spans="1:4" x14ac:dyDescent="0.3">
      <c r="A529" s="79">
        <v>41569</v>
      </c>
      <c r="B529" s="78" t="s">
        <v>63</v>
      </c>
      <c r="C529" s="78" t="s">
        <v>79</v>
      </c>
      <c r="D529" s="80">
        <v>629</v>
      </c>
    </row>
    <row r="530" spans="1:4" x14ac:dyDescent="0.3">
      <c r="A530" s="79">
        <v>41568</v>
      </c>
      <c r="B530" s="78" t="s">
        <v>67</v>
      </c>
      <c r="C530" s="78" t="s">
        <v>80</v>
      </c>
      <c r="D530" s="80">
        <v>247</v>
      </c>
    </row>
    <row r="531" spans="1:4" x14ac:dyDescent="0.3">
      <c r="A531" s="79">
        <v>41572</v>
      </c>
      <c r="B531" s="78" t="s">
        <v>69</v>
      </c>
      <c r="C531" s="78" t="s">
        <v>74</v>
      </c>
      <c r="D531" s="80">
        <v>180</v>
      </c>
    </row>
    <row r="532" spans="1:4" x14ac:dyDescent="0.3">
      <c r="A532" s="79">
        <v>41572</v>
      </c>
      <c r="B532" s="78" t="s">
        <v>69</v>
      </c>
      <c r="C532" s="78" t="s">
        <v>82</v>
      </c>
      <c r="D532" s="80">
        <v>374</v>
      </c>
    </row>
    <row r="533" spans="1:4" x14ac:dyDescent="0.3">
      <c r="A533" s="79">
        <v>41569</v>
      </c>
      <c r="B533" s="78" t="s">
        <v>63</v>
      </c>
      <c r="C533" s="78" t="s">
        <v>80</v>
      </c>
      <c r="D533" s="80">
        <v>672</v>
      </c>
    </row>
    <row r="534" spans="1:4" x14ac:dyDescent="0.3">
      <c r="A534" s="79">
        <v>41572</v>
      </c>
      <c r="B534" s="78" t="s">
        <v>69</v>
      </c>
      <c r="C534" s="78" t="s">
        <v>71</v>
      </c>
      <c r="D534" s="80">
        <v>484</v>
      </c>
    </row>
    <row r="535" spans="1:4" x14ac:dyDescent="0.3">
      <c r="A535" s="79">
        <v>41573</v>
      </c>
      <c r="B535" s="78" t="s">
        <v>69</v>
      </c>
      <c r="C535" s="78" t="s">
        <v>65</v>
      </c>
      <c r="D535" s="80">
        <v>77</v>
      </c>
    </row>
    <row r="536" spans="1:4" x14ac:dyDescent="0.3">
      <c r="A536" s="79">
        <v>41573</v>
      </c>
      <c r="B536" s="78" t="s">
        <v>63</v>
      </c>
      <c r="C536" s="78" t="s">
        <v>75</v>
      </c>
      <c r="D536" s="80">
        <v>315</v>
      </c>
    </row>
    <row r="537" spans="1:4" x14ac:dyDescent="0.3">
      <c r="A537" s="79">
        <v>41570</v>
      </c>
      <c r="B537" s="78" t="s">
        <v>69</v>
      </c>
      <c r="C537" s="78" t="s">
        <v>68</v>
      </c>
      <c r="D537" s="80">
        <v>462</v>
      </c>
    </row>
    <row r="538" spans="1:4" x14ac:dyDescent="0.3">
      <c r="A538" s="79">
        <v>41569</v>
      </c>
      <c r="B538" s="78" t="s">
        <v>69</v>
      </c>
      <c r="C538" s="78" t="s">
        <v>74</v>
      </c>
      <c r="D538" s="80">
        <v>470</v>
      </c>
    </row>
    <row r="539" spans="1:4" x14ac:dyDescent="0.3">
      <c r="A539" s="79">
        <v>41567</v>
      </c>
      <c r="B539" s="78" t="s">
        <v>63</v>
      </c>
      <c r="C539" s="78" t="s">
        <v>71</v>
      </c>
      <c r="D539" s="80">
        <v>102</v>
      </c>
    </row>
    <row r="540" spans="1:4" x14ac:dyDescent="0.3">
      <c r="A540" s="79">
        <v>41567</v>
      </c>
      <c r="B540" s="78" t="s">
        <v>63</v>
      </c>
      <c r="C540" s="78" t="s">
        <v>83</v>
      </c>
      <c r="D540" s="80">
        <v>161</v>
      </c>
    </row>
    <row r="541" spans="1:4" x14ac:dyDescent="0.3">
      <c r="A541" s="79">
        <v>41568</v>
      </c>
      <c r="B541" s="78" t="s">
        <v>67</v>
      </c>
      <c r="C541" s="78" t="s">
        <v>82</v>
      </c>
      <c r="D541" s="80">
        <v>651</v>
      </c>
    </row>
    <row r="542" spans="1:4" x14ac:dyDescent="0.3">
      <c r="A542" s="79">
        <v>41568</v>
      </c>
      <c r="B542" s="78" t="s">
        <v>67</v>
      </c>
      <c r="C542" s="78" t="s">
        <v>78</v>
      </c>
      <c r="D542" s="80">
        <v>28</v>
      </c>
    </row>
    <row r="543" spans="1:4" x14ac:dyDescent="0.3">
      <c r="A543" s="79">
        <v>41573</v>
      </c>
      <c r="B543" s="78" t="s">
        <v>67</v>
      </c>
      <c r="C543" s="78" t="s">
        <v>68</v>
      </c>
      <c r="D543" s="80">
        <v>222</v>
      </c>
    </row>
    <row r="544" spans="1:4" x14ac:dyDescent="0.3">
      <c r="A544" s="79">
        <v>41572</v>
      </c>
      <c r="B544" s="78" t="s">
        <v>63</v>
      </c>
      <c r="C544" s="78" t="s">
        <v>74</v>
      </c>
      <c r="D544" s="80">
        <v>399</v>
      </c>
    </row>
    <row r="545" spans="1:4" x14ac:dyDescent="0.3">
      <c r="A545" s="79">
        <v>41569</v>
      </c>
      <c r="B545" s="78" t="s">
        <v>67</v>
      </c>
      <c r="C545" s="78" t="s">
        <v>89</v>
      </c>
      <c r="D545" s="80">
        <v>570</v>
      </c>
    </row>
    <row r="546" spans="1:4" x14ac:dyDescent="0.3">
      <c r="A546" s="79">
        <v>41572</v>
      </c>
      <c r="B546" s="78" t="s">
        <v>63</v>
      </c>
      <c r="C546" s="78" t="s">
        <v>75</v>
      </c>
      <c r="D546" s="80">
        <v>119</v>
      </c>
    </row>
    <row r="547" spans="1:4" x14ac:dyDescent="0.3">
      <c r="A547" s="79">
        <v>41571</v>
      </c>
      <c r="B547" s="78" t="s">
        <v>67</v>
      </c>
      <c r="C547" s="78" t="s">
        <v>78</v>
      </c>
      <c r="D547" s="80">
        <v>219</v>
      </c>
    </row>
    <row r="548" spans="1:4" x14ac:dyDescent="0.3">
      <c r="A548" s="79">
        <v>41571</v>
      </c>
      <c r="B548" s="78" t="s">
        <v>63</v>
      </c>
      <c r="C548" s="78" t="s">
        <v>66</v>
      </c>
      <c r="D548" s="80">
        <v>466</v>
      </c>
    </row>
    <row r="549" spans="1:4" x14ac:dyDescent="0.3">
      <c r="A549" s="79">
        <v>41569</v>
      </c>
      <c r="B549" s="78" t="s">
        <v>69</v>
      </c>
      <c r="C549" s="78" t="s">
        <v>65</v>
      </c>
      <c r="D549" s="80">
        <v>225</v>
      </c>
    </row>
    <row r="550" spans="1:4" x14ac:dyDescent="0.3">
      <c r="A550" s="79">
        <v>41568</v>
      </c>
      <c r="B550" s="78" t="s">
        <v>63</v>
      </c>
      <c r="C550" s="78" t="s">
        <v>80</v>
      </c>
      <c r="D550" s="80">
        <v>293</v>
      </c>
    </row>
    <row r="551" spans="1:4" x14ac:dyDescent="0.3">
      <c r="A551" s="79">
        <v>41570</v>
      </c>
      <c r="B551" s="78" t="s">
        <v>69</v>
      </c>
      <c r="C551" s="78" t="s">
        <v>79</v>
      </c>
      <c r="D551" s="80">
        <v>217</v>
      </c>
    </row>
    <row r="552" spans="1:4" x14ac:dyDescent="0.3">
      <c r="A552" s="79">
        <v>41572</v>
      </c>
      <c r="B552" s="78" t="s">
        <v>67</v>
      </c>
      <c r="C552" s="78" t="s">
        <v>66</v>
      </c>
      <c r="D552" s="80">
        <v>547</v>
      </c>
    </row>
    <row r="553" spans="1:4" x14ac:dyDescent="0.3">
      <c r="A553" s="79">
        <v>41572</v>
      </c>
      <c r="B553" s="78" t="s">
        <v>67</v>
      </c>
      <c r="C553" s="78" t="s">
        <v>72</v>
      </c>
      <c r="D553" s="80">
        <v>449</v>
      </c>
    </row>
    <row r="554" spans="1:4" x14ac:dyDescent="0.3">
      <c r="A554" s="79">
        <v>41573</v>
      </c>
      <c r="B554" s="78" t="s">
        <v>63</v>
      </c>
      <c r="C554" s="78" t="s">
        <v>70</v>
      </c>
      <c r="D554" s="80">
        <v>185</v>
      </c>
    </row>
    <row r="555" spans="1:4" x14ac:dyDescent="0.3">
      <c r="A555" s="79">
        <v>41573</v>
      </c>
      <c r="B555" s="78" t="s">
        <v>67</v>
      </c>
      <c r="C555" s="78" t="s">
        <v>72</v>
      </c>
      <c r="D555" s="80">
        <v>579</v>
      </c>
    </row>
    <row r="556" spans="1:4" x14ac:dyDescent="0.3">
      <c r="A556" s="79">
        <v>41568</v>
      </c>
      <c r="B556" s="78" t="s">
        <v>67</v>
      </c>
      <c r="C556" s="78" t="s">
        <v>66</v>
      </c>
      <c r="D556" s="80">
        <v>675</v>
      </c>
    </row>
    <row r="557" spans="1:4" x14ac:dyDescent="0.3">
      <c r="A557" s="79">
        <v>41570</v>
      </c>
      <c r="B557" s="78" t="s">
        <v>69</v>
      </c>
      <c r="C557" s="78" t="s">
        <v>66</v>
      </c>
      <c r="D557" s="80">
        <v>239</v>
      </c>
    </row>
    <row r="558" spans="1:4" x14ac:dyDescent="0.3">
      <c r="A558" s="79">
        <v>41569</v>
      </c>
      <c r="B558" s="78" t="s">
        <v>67</v>
      </c>
      <c r="C558" s="78" t="s">
        <v>71</v>
      </c>
      <c r="D558" s="80">
        <v>152</v>
      </c>
    </row>
    <row r="559" spans="1:4" x14ac:dyDescent="0.3">
      <c r="A559" s="79">
        <v>41571</v>
      </c>
      <c r="B559" s="78" t="s">
        <v>67</v>
      </c>
      <c r="C559" s="78" t="s">
        <v>66</v>
      </c>
      <c r="D559" s="80">
        <v>210</v>
      </c>
    </row>
    <row r="560" spans="1:4" x14ac:dyDescent="0.3">
      <c r="A560" s="79">
        <v>41572</v>
      </c>
      <c r="B560" s="78" t="s">
        <v>69</v>
      </c>
      <c r="C560" s="78" t="s">
        <v>89</v>
      </c>
      <c r="D560" s="80">
        <v>573</v>
      </c>
    </row>
    <row r="561" spans="1:4" x14ac:dyDescent="0.3">
      <c r="A561" s="79">
        <v>41573</v>
      </c>
      <c r="B561" s="78" t="s">
        <v>63</v>
      </c>
      <c r="C561" s="78" t="s">
        <v>66</v>
      </c>
      <c r="D561" s="80">
        <v>19</v>
      </c>
    </row>
    <row r="562" spans="1:4" x14ac:dyDescent="0.3">
      <c r="A562" s="79">
        <v>41568</v>
      </c>
      <c r="B562" s="78" t="s">
        <v>69</v>
      </c>
      <c r="C562" s="78" t="s">
        <v>73</v>
      </c>
      <c r="D562" s="80">
        <v>478</v>
      </c>
    </row>
    <row r="563" spans="1:4" x14ac:dyDescent="0.3">
      <c r="A563" s="79">
        <v>41568</v>
      </c>
      <c r="B563" s="78" t="s">
        <v>67</v>
      </c>
      <c r="C563" s="78" t="s">
        <v>68</v>
      </c>
      <c r="D563" s="80">
        <v>565</v>
      </c>
    </row>
    <row r="564" spans="1:4" x14ac:dyDescent="0.3">
      <c r="A564" s="79">
        <v>41571</v>
      </c>
      <c r="B564" s="78" t="s">
        <v>69</v>
      </c>
      <c r="C564" s="78" t="s">
        <v>79</v>
      </c>
      <c r="D564" s="80">
        <v>169</v>
      </c>
    </row>
    <row r="565" spans="1:4" x14ac:dyDescent="0.3">
      <c r="A565" s="79">
        <v>41571</v>
      </c>
      <c r="B565" s="78" t="s">
        <v>67</v>
      </c>
      <c r="C565" s="78" t="s">
        <v>65</v>
      </c>
      <c r="D565" s="80">
        <v>329</v>
      </c>
    </row>
    <row r="566" spans="1:4" x14ac:dyDescent="0.3">
      <c r="A566" s="79">
        <v>41571</v>
      </c>
      <c r="B566" s="78" t="s">
        <v>69</v>
      </c>
      <c r="C566" s="78" t="s">
        <v>72</v>
      </c>
      <c r="D566" s="80">
        <v>115</v>
      </c>
    </row>
    <row r="567" spans="1:4" x14ac:dyDescent="0.3">
      <c r="A567" s="79">
        <v>41567</v>
      </c>
      <c r="B567" s="78" t="s">
        <v>67</v>
      </c>
      <c r="C567" s="78" t="s">
        <v>78</v>
      </c>
      <c r="D567" s="80">
        <v>524</v>
      </c>
    </row>
    <row r="568" spans="1:4" x14ac:dyDescent="0.3">
      <c r="A568" s="79">
        <v>41573</v>
      </c>
      <c r="B568" s="78" t="s">
        <v>69</v>
      </c>
      <c r="C568" s="78" t="s">
        <v>78</v>
      </c>
      <c r="D568" s="80">
        <v>550</v>
      </c>
    </row>
    <row r="569" spans="1:4" x14ac:dyDescent="0.3">
      <c r="A569" s="79">
        <v>41569</v>
      </c>
      <c r="B569" s="78" t="s">
        <v>69</v>
      </c>
      <c r="C569" s="78" t="s">
        <v>74</v>
      </c>
      <c r="D569" s="80">
        <v>514</v>
      </c>
    </row>
    <row r="570" spans="1:4" x14ac:dyDescent="0.3">
      <c r="A570" s="79">
        <v>41567</v>
      </c>
      <c r="B570" s="78" t="s">
        <v>69</v>
      </c>
      <c r="C570" s="78" t="s">
        <v>66</v>
      </c>
      <c r="D570" s="80">
        <v>223</v>
      </c>
    </row>
    <row r="571" spans="1:4" x14ac:dyDescent="0.3">
      <c r="A571" s="79">
        <v>41572</v>
      </c>
      <c r="B571" s="78" t="s">
        <v>69</v>
      </c>
      <c r="C571" s="78" t="s">
        <v>71</v>
      </c>
      <c r="D571" s="80">
        <v>667</v>
      </c>
    </row>
    <row r="572" spans="1:4" x14ac:dyDescent="0.3">
      <c r="A572" s="79">
        <v>41567</v>
      </c>
      <c r="B572" s="78" t="s">
        <v>69</v>
      </c>
      <c r="C572" s="78" t="s">
        <v>68</v>
      </c>
      <c r="D572" s="80">
        <v>314</v>
      </c>
    </row>
    <row r="573" spans="1:4" x14ac:dyDescent="0.3">
      <c r="A573" s="79">
        <v>41573</v>
      </c>
      <c r="B573" s="78" t="s">
        <v>67</v>
      </c>
      <c r="C573" s="78" t="s">
        <v>73</v>
      </c>
      <c r="D573" s="80">
        <v>228</v>
      </c>
    </row>
    <row r="574" spans="1:4" x14ac:dyDescent="0.3">
      <c r="A574" s="79">
        <v>41569</v>
      </c>
      <c r="B574" s="78" t="s">
        <v>67</v>
      </c>
      <c r="C574" s="78" t="s">
        <v>64</v>
      </c>
      <c r="D574" s="80">
        <v>193</v>
      </c>
    </row>
    <row r="575" spans="1:4" x14ac:dyDescent="0.3">
      <c r="A575" s="79">
        <v>41573</v>
      </c>
      <c r="B575" s="78" t="s">
        <v>63</v>
      </c>
      <c r="C575" s="78" t="s">
        <v>72</v>
      </c>
      <c r="D575" s="80">
        <v>509</v>
      </c>
    </row>
    <row r="576" spans="1:4" x14ac:dyDescent="0.3">
      <c r="A576" s="79">
        <v>41568</v>
      </c>
      <c r="B576" s="78" t="s">
        <v>67</v>
      </c>
      <c r="C576" s="78" t="s">
        <v>77</v>
      </c>
      <c r="D576" s="80">
        <v>529</v>
      </c>
    </row>
    <row r="577" spans="1:4" x14ac:dyDescent="0.3">
      <c r="A577" s="79">
        <v>41573</v>
      </c>
      <c r="B577" s="78" t="s">
        <v>67</v>
      </c>
      <c r="C577" s="78" t="s">
        <v>73</v>
      </c>
      <c r="D577" s="80">
        <v>416</v>
      </c>
    </row>
    <row r="578" spans="1:4" x14ac:dyDescent="0.3">
      <c r="A578" s="79">
        <v>41569</v>
      </c>
      <c r="B578" s="78" t="s">
        <v>63</v>
      </c>
      <c r="C578" s="78" t="s">
        <v>75</v>
      </c>
      <c r="D578" s="80">
        <v>532</v>
      </c>
    </row>
    <row r="579" spans="1:4" x14ac:dyDescent="0.3">
      <c r="A579" s="79">
        <v>41569</v>
      </c>
      <c r="B579" s="78" t="s">
        <v>63</v>
      </c>
      <c r="C579" s="78" t="s">
        <v>68</v>
      </c>
      <c r="D579" s="80">
        <v>639</v>
      </c>
    </row>
    <row r="580" spans="1:4" x14ac:dyDescent="0.3">
      <c r="A580" s="79">
        <v>41569</v>
      </c>
      <c r="B580" s="78" t="s">
        <v>69</v>
      </c>
      <c r="C580" s="78" t="s">
        <v>88</v>
      </c>
      <c r="D580" s="80">
        <v>115</v>
      </c>
    </row>
    <row r="581" spans="1:4" x14ac:dyDescent="0.3">
      <c r="A581" s="79">
        <v>41567</v>
      </c>
      <c r="B581" s="78" t="s">
        <v>63</v>
      </c>
      <c r="C581" s="78" t="s">
        <v>66</v>
      </c>
      <c r="D581" s="80">
        <v>145</v>
      </c>
    </row>
    <row r="582" spans="1:4" x14ac:dyDescent="0.3">
      <c r="A582" s="79">
        <v>41573</v>
      </c>
      <c r="B582" s="78" t="s">
        <v>67</v>
      </c>
      <c r="C582" s="78" t="s">
        <v>88</v>
      </c>
      <c r="D582" s="80">
        <v>349</v>
      </c>
    </row>
    <row r="583" spans="1:4" x14ac:dyDescent="0.3">
      <c r="A583" s="79">
        <v>41571</v>
      </c>
      <c r="B583" s="78" t="s">
        <v>67</v>
      </c>
      <c r="C583" s="78" t="s">
        <v>79</v>
      </c>
      <c r="D583" s="80">
        <v>98</v>
      </c>
    </row>
    <row r="584" spans="1:4" x14ac:dyDescent="0.3">
      <c r="A584" s="79">
        <v>41571</v>
      </c>
      <c r="B584" s="78" t="s">
        <v>69</v>
      </c>
      <c r="C584" s="78" t="s">
        <v>64</v>
      </c>
      <c r="D584" s="80">
        <v>342</v>
      </c>
    </row>
    <row r="585" spans="1:4" x14ac:dyDescent="0.3">
      <c r="A585" s="79">
        <v>41567</v>
      </c>
      <c r="B585" s="78" t="s">
        <v>69</v>
      </c>
      <c r="C585" s="78" t="s">
        <v>66</v>
      </c>
      <c r="D585" s="80">
        <v>234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F3AC7-DD77-4BDC-9C69-BA5C9D131F8C}">
  <sheetPr>
    <tabColor rgb="FFFF0000"/>
  </sheetPr>
  <dimension ref="A1:M585"/>
  <sheetViews>
    <sheetView workbookViewId="0">
      <selection activeCell="F4" sqref="F4:G4"/>
      <pivotSelection pane="bottomRight" showHeader="1" extendable="1" axis="axisRow" max="26" activeRow="3" activeCol="5" previousRow="3" previousCol="5" click="1" r:id="rId1">
        <pivotArea dataOnly="0" outline="0" fieldPosition="0">
          <references count="1">
            <reference field="2" count="1">
              <x v="0"/>
            </reference>
          </references>
        </pivotArea>
      </pivotSelection>
    </sheetView>
  </sheetViews>
  <sheetFormatPr defaultColWidth="9.109375" defaultRowHeight="14.4" x14ac:dyDescent="0.3"/>
  <cols>
    <col min="1" max="4" width="17.33203125" style="76" customWidth="1"/>
    <col min="5" max="5" width="9.109375" style="76"/>
    <col min="6" max="6" width="18.109375" style="76" bestFit="1" customWidth="1"/>
    <col min="7" max="7" width="12.109375" style="76" bestFit="1" customWidth="1"/>
    <col min="8" max="16384" width="9.109375" style="76"/>
  </cols>
  <sheetData>
    <row r="1" spans="1:13" x14ac:dyDescent="0.3">
      <c r="A1" s="82" t="s">
        <v>91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4"/>
    </row>
    <row r="3" spans="1:13" x14ac:dyDescent="0.3">
      <c r="A3" s="86" t="s">
        <v>1</v>
      </c>
      <c r="B3" s="87" t="s">
        <v>60</v>
      </c>
      <c r="C3" s="87" t="s">
        <v>61</v>
      </c>
      <c r="D3" s="88" t="s">
        <v>62</v>
      </c>
      <c r="F3" s="81" t="s">
        <v>61</v>
      </c>
      <c r="G3" t="s">
        <v>92</v>
      </c>
      <c r="H3"/>
    </row>
    <row r="4" spans="1:13" x14ac:dyDescent="0.3">
      <c r="A4" s="75">
        <v>41568</v>
      </c>
      <c r="B4" s="78" t="s">
        <v>63</v>
      </c>
      <c r="C4" s="78" t="s">
        <v>64</v>
      </c>
      <c r="D4" s="85">
        <v>519</v>
      </c>
      <c r="F4" s="76" t="s">
        <v>88</v>
      </c>
      <c r="G4" s="25">
        <v>4047</v>
      </c>
      <c r="H4"/>
    </row>
    <row r="5" spans="1:13" x14ac:dyDescent="0.3">
      <c r="A5" s="75">
        <v>41572</v>
      </c>
      <c r="B5" s="78" t="s">
        <v>63</v>
      </c>
      <c r="C5" s="78" t="s">
        <v>65</v>
      </c>
      <c r="D5" s="85">
        <v>651</v>
      </c>
      <c r="F5" s="76" t="s">
        <v>73</v>
      </c>
      <c r="G5" s="25">
        <v>4860</v>
      </c>
      <c r="H5"/>
    </row>
    <row r="6" spans="1:13" x14ac:dyDescent="0.3">
      <c r="A6" s="75">
        <v>41573</v>
      </c>
      <c r="B6" s="78" t="s">
        <v>63</v>
      </c>
      <c r="C6" s="78" t="s">
        <v>66</v>
      </c>
      <c r="D6" s="85">
        <v>618</v>
      </c>
      <c r="F6" s="76" t="s">
        <v>68</v>
      </c>
      <c r="G6" s="25">
        <v>14779</v>
      </c>
      <c r="H6"/>
    </row>
    <row r="7" spans="1:13" x14ac:dyDescent="0.3">
      <c r="A7" s="75">
        <v>41570</v>
      </c>
      <c r="B7" s="78" t="s">
        <v>67</v>
      </c>
      <c r="C7" s="78" t="s">
        <v>68</v>
      </c>
      <c r="D7" s="85">
        <v>335</v>
      </c>
      <c r="F7" s="76" t="s">
        <v>66</v>
      </c>
      <c r="G7" s="25">
        <v>13915</v>
      </c>
      <c r="H7"/>
    </row>
    <row r="8" spans="1:13" x14ac:dyDescent="0.3">
      <c r="A8" s="75">
        <v>41567</v>
      </c>
      <c r="B8" s="78" t="s">
        <v>67</v>
      </c>
      <c r="C8" s="78" t="s">
        <v>68</v>
      </c>
      <c r="D8" s="85">
        <v>640</v>
      </c>
      <c r="F8" s="76" t="s">
        <v>77</v>
      </c>
      <c r="G8" s="25">
        <v>4368</v>
      </c>
      <c r="H8"/>
    </row>
    <row r="9" spans="1:13" x14ac:dyDescent="0.3">
      <c r="A9" s="75">
        <v>41570</v>
      </c>
      <c r="B9" s="78" t="s">
        <v>69</v>
      </c>
      <c r="C9" s="78" t="s">
        <v>70</v>
      </c>
      <c r="D9" s="85">
        <v>586</v>
      </c>
      <c r="F9" s="76" t="s">
        <v>86</v>
      </c>
      <c r="G9" s="25">
        <v>2939</v>
      </c>
      <c r="H9"/>
    </row>
    <row r="10" spans="1:13" x14ac:dyDescent="0.3">
      <c r="A10" s="75">
        <v>41568</v>
      </c>
      <c r="B10" s="78" t="s">
        <v>63</v>
      </c>
      <c r="C10" s="78" t="s">
        <v>71</v>
      </c>
      <c r="D10" s="85">
        <v>301</v>
      </c>
      <c r="F10" s="76" t="s">
        <v>65</v>
      </c>
      <c r="G10" s="25">
        <v>15181</v>
      </c>
      <c r="H10"/>
    </row>
    <row r="11" spans="1:13" x14ac:dyDescent="0.3">
      <c r="A11" s="75">
        <v>41572</v>
      </c>
      <c r="B11" s="78" t="s">
        <v>69</v>
      </c>
      <c r="C11" s="78" t="s">
        <v>65</v>
      </c>
      <c r="D11" s="85">
        <v>359</v>
      </c>
      <c r="F11" s="76" t="s">
        <v>84</v>
      </c>
      <c r="G11" s="25">
        <v>4662</v>
      </c>
      <c r="H11"/>
    </row>
    <row r="12" spans="1:13" x14ac:dyDescent="0.3">
      <c r="A12" s="75">
        <v>41567</v>
      </c>
      <c r="B12" s="78" t="s">
        <v>63</v>
      </c>
      <c r="C12" s="78" t="s">
        <v>70</v>
      </c>
      <c r="D12" s="85">
        <v>658</v>
      </c>
      <c r="F12" s="76" t="s">
        <v>76</v>
      </c>
      <c r="G12" s="25">
        <v>2485</v>
      </c>
      <c r="H12"/>
    </row>
    <row r="13" spans="1:13" x14ac:dyDescent="0.3">
      <c r="A13" s="75">
        <v>41568</v>
      </c>
      <c r="B13" s="78" t="s">
        <v>69</v>
      </c>
      <c r="C13" s="78" t="s">
        <v>65</v>
      </c>
      <c r="D13" s="85">
        <v>213</v>
      </c>
      <c r="F13" s="76" t="s">
        <v>82</v>
      </c>
      <c r="G13" s="25">
        <v>6436</v>
      </c>
      <c r="H13"/>
    </row>
    <row r="14" spans="1:13" x14ac:dyDescent="0.3">
      <c r="A14" s="75">
        <v>41572</v>
      </c>
      <c r="B14" s="78" t="s">
        <v>69</v>
      </c>
      <c r="C14" s="78" t="s">
        <v>72</v>
      </c>
      <c r="D14" s="85">
        <v>500</v>
      </c>
      <c r="F14" s="76" t="s">
        <v>89</v>
      </c>
      <c r="G14" s="25">
        <v>3204</v>
      </c>
      <c r="H14"/>
    </row>
    <row r="15" spans="1:13" x14ac:dyDescent="0.3">
      <c r="A15" s="75">
        <v>41569</v>
      </c>
      <c r="B15" s="78" t="s">
        <v>67</v>
      </c>
      <c r="C15" s="78" t="s">
        <v>70</v>
      </c>
      <c r="D15" s="85">
        <v>604</v>
      </c>
      <c r="F15" s="76" t="s">
        <v>64</v>
      </c>
      <c r="G15" s="25">
        <v>6027</v>
      </c>
      <c r="H15"/>
    </row>
    <row r="16" spans="1:13" x14ac:dyDescent="0.3">
      <c r="A16" s="75">
        <v>41570</v>
      </c>
      <c r="B16" s="78" t="s">
        <v>63</v>
      </c>
      <c r="C16" s="78" t="s">
        <v>73</v>
      </c>
      <c r="D16" s="85">
        <v>340</v>
      </c>
      <c r="F16" s="76" t="s">
        <v>87</v>
      </c>
      <c r="G16" s="25">
        <v>2287</v>
      </c>
      <c r="H16"/>
    </row>
    <row r="17" spans="1:8" x14ac:dyDescent="0.3">
      <c r="A17" s="75">
        <v>41568</v>
      </c>
      <c r="B17" s="78" t="s">
        <v>67</v>
      </c>
      <c r="C17" s="78" t="s">
        <v>72</v>
      </c>
      <c r="D17" s="85">
        <v>117</v>
      </c>
      <c r="F17" s="76" t="s">
        <v>79</v>
      </c>
      <c r="G17" s="25">
        <v>16838</v>
      </c>
      <c r="H17"/>
    </row>
    <row r="18" spans="1:8" x14ac:dyDescent="0.3">
      <c r="A18" s="75">
        <v>41572</v>
      </c>
      <c r="B18" s="78" t="s">
        <v>69</v>
      </c>
      <c r="C18" s="78" t="s">
        <v>74</v>
      </c>
      <c r="D18" s="85">
        <v>234</v>
      </c>
      <c r="F18" s="76" t="s">
        <v>70</v>
      </c>
      <c r="G18" s="25">
        <v>15449</v>
      </c>
      <c r="H18"/>
    </row>
    <row r="19" spans="1:8" x14ac:dyDescent="0.3">
      <c r="A19" s="75">
        <v>41567</v>
      </c>
      <c r="B19" s="78" t="s">
        <v>63</v>
      </c>
      <c r="C19" s="78" t="s">
        <v>74</v>
      </c>
      <c r="D19" s="85">
        <v>225</v>
      </c>
      <c r="F19" s="76" t="s">
        <v>90</v>
      </c>
      <c r="G19" s="25">
        <v>4284</v>
      </c>
      <c r="H19"/>
    </row>
    <row r="20" spans="1:8" x14ac:dyDescent="0.3">
      <c r="A20" s="75">
        <v>41572</v>
      </c>
      <c r="B20" s="78" t="s">
        <v>69</v>
      </c>
      <c r="C20" s="78" t="s">
        <v>75</v>
      </c>
      <c r="D20" s="85">
        <v>302</v>
      </c>
      <c r="F20" s="76" t="s">
        <v>72</v>
      </c>
      <c r="G20" s="25">
        <v>17520</v>
      </c>
      <c r="H20"/>
    </row>
    <row r="21" spans="1:8" x14ac:dyDescent="0.3">
      <c r="A21" s="75">
        <v>41571</v>
      </c>
      <c r="B21" s="78" t="s">
        <v>67</v>
      </c>
      <c r="C21" s="78" t="s">
        <v>76</v>
      </c>
      <c r="D21" s="85">
        <v>223</v>
      </c>
      <c r="F21" s="76" t="s">
        <v>74</v>
      </c>
      <c r="G21" s="25">
        <v>15973</v>
      </c>
    </row>
    <row r="22" spans="1:8" x14ac:dyDescent="0.3">
      <c r="A22" s="75">
        <v>41569</v>
      </c>
      <c r="B22" s="78" t="s">
        <v>63</v>
      </c>
      <c r="C22" s="78" t="s">
        <v>70</v>
      </c>
      <c r="D22" s="85">
        <v>401</v>
      </c>
      <c r="F22" s="76" t="s">
        <v>71</v>
      </c>
      <c r="G22" s="25">
        <v>14079</v>
      </c>
    </row>
    <row r="23" spans="1:8" x14ac:dyDescent="0.3">
      <c r="A23" s="75">
        <v>41571</v>
      </c>
      <c r="B23" s="78" t="s">
        <v>63</v>
      </c>
      <c r="C23" s="78" t="s">
        <v>66</v>
      </c>
      <c r="D23" s="85">
        <v>405</v>
      </c>
      <c r="F23" s="76" t="s">
        <v>78</v>
      </c>
      <c r="G23" s="25">
        <v>12691</v>
      </c>
    </row>
    <row r="24" spans="1:8" x14ac:dyDescent="0.3">
      <c r="A24" s="75">
        <v>41568</v>
      </c>
      <c r="B24" s="78" t="s">
        <v>67</v>
      </c>
      <c r="C24" s="78" t="s">
        <v>71</v>
      </c>
      <c r="D24" s="85">
        <v>493</v>
      </c>
      <c r="F24" s="76" t="s">
        <v>83</v>
      </c>
      <c r="G24" s="25">
        <v>5527</v>
      </c>
    </row>
    <row r="25" spans="1:8" x14ac:dyDescent="0.3">
      <c r="A25" s="75">
        <v>41568</v>
      </c>
      <c r="B25" s="78" t="s">
        <v>69</v>
      </c>
      <c r="C25" s="78" t="s">
        <v>72</v>
      </c>
      <c r="D25" s="85">
        <v>214</v>
      </c>
      <c r="F25" s="76" t="s">
        <v>85</v>
      </c>
      <c r="G25" s="25">
        <v>1941</v>
      </c>
    </row>
    <row r="26" spans="1:8" x14ac:dyDescent="0.3">
      <c r="A26" s="75">
        <v>41569</v>
      </c>
      <c r="B26" s="78" t="s">
        <v>69</v>
      </c>
      <c r="C26" s="78" t="s">
        <v>68</v>
      </c>
      <c r="D26" s="85">
        <v>366</v>
      </c>
      <c r="F26" s="76" t="s">
        <v>81</v>
      </c>
      <c r="G26" s="25">
        <v>6024</v>
      </c>
    </row>
    <row r="27" spans="1:8" x14ac:dyDescent="0.3">
      <c r="A27" s="75">
        <v>41569</v>
      </c>
      <c r="B27" s="78" t="s">
        <v>67</v>
      </c>
      <c r="C27" s="78" t="s">
        <v>65</v>
      </c>
      <c r="D27" s="85">
        <v>191</v>
      </c>
      <c r="F27" s="76" t="s">
        <v>75</v>
      </c>
      <c r="G27" s="25">
        <v>4485</v>
      </c>
    </row>
    <row r="28" spans="1:8" x14ac:dyDescent="0.3">
      <c r="A28" s="75">
        <v>41572</v>
      </c>
      <c r="B28" s="78" t="s">
        <v>63</v>
      </c>
      <c r="C28" s="78" t="s">
        <v>74</v>
      </c>
      <c r="D28" s="85">
        <v>628</v>
      </c>
      <c r="F28" s="76" t="s">
        <v>80</v>
      </c>
      <c r="G28" s="25">
        <v>3017</v>
      </c>
    </row>
    <row r="29" spans="1:8" x14ac:dyDescent="0.3">
      <c r="A29" s="75">
        <v>41573</v>
      </c>
      <c r="B29" s="78" t="s">
        <v>63</v>
      </c>
      <c r="C29" s="78" t="s">
        <v>68</v>
      </c>
      <c r="D29" s="85">
        <v>144</v>
      </c>
      <c r="F29" s="76" t="s">
        <v>36</v>
      </c>
      <c r="G29" s="25">
        <v>203018</v>
      </c>
    </row>
    <row r="30" spans="1:8" x14ac:dyDescent="0.3">
      <c r="A30" s="75">
        <v>41573</v>
      </c>
      <c r="B30" s="78" t="s">
        <v>69</v>
      </c>
      <c r="C30" s="78" t="s">
        <v>74</v>
      </c>
      <c r="D30" s="85">
        <v>335</v>
      </c>
    </row>
    <row r="31" spans="1:8" x14ac:dyDescent="0.3">
      <c r="A31" s="75">
        <v>41569</v>
      </c>
      <c r="B31" s="78" t="s">
        <v>69</v>
      </c>
      <c r="C31" s="78" t="s">
        <v>71</v>
      </c>
      <c r="D31" s="85">
        <v>571</v>
      </c>
    </row>
    <row r="32" spans="1:8" x14ac:dyDescent="0.3">
      <c r="A32" s="75">
        <v>41572</v>
      </c>
      <c r="B32" s="78" t="s">
        <v>69</v>
      </c>
      <c r="C32" s="78" t="s">
        <v>68</v>
      </c>
      <c r="D32" s="85">
        <v>136</v>
      </c>
    </row>
    <row r="33" spans="1:4" x14ac:dyDescent="0.3">
      <c r="A33" s="75">
        <v>41572</v>
      </c>
      <c r="B33" s="78" t="s">
        <v>67</v>
      </c>
      <c r="C33" s="78" t="s">
        <v>72</v>
      </c>
      <c r="D33" s="85">
        <v>201</v>
      </c>
    </row>
    <row r="34" spans="1:4" x14ac:dyDescent="0.3">
      <c r="A34" s="75">
        <v>41570</v>
      </c>
      <c r="B34" s="78" t="s">
        <v>67</v>
      </c>
      <c r="C34" s="78" t="s">
        <v>77</v>
      </c>
      <c r="D34" s="85">
        <v>339</v>
      </c>
    </row>
    <row r="35" spans="1:4" x14ac:dyDescent="0.3">
      <c r="A35" s="75">
        <v>41572</v>
      </c>
      <c r="B35" s="78" t="s">
        <v>67</v>
      </c>
      <c r="C35" s="78" t="s">
        <v>70</v>
      </c>
      <c r="D35" s="85">
        <v>203</v>
      </c>
    </row>
    <row r="36" spans="1:4" x14ac:dyDescent="0.3">
      <c r="A36" s="75">
        <v>41568</v>
      </c>
      <c r="B36" s="78" t="s">
        <v>63</v>
      </c>
      <c r="C36" s="78" t="s">
        <v>73</v>
      </c>
      <c r="D36" s="85">
        <v>526</v>
      </c>
    </row>
    <row r="37" spans="1:4" x14ac:dyDescent="0.3">
      <c r="A37" s="75">
        <v>41572</v>
      </c>
      <c r="B37" s="78" t="s">
        <v>63</v>
      </c>
      <c r="C37" s="78" t="s">
        <v>71</v>
      </c>
      <c r="D37" s="85">
        <v>86</v>
      </c>
    </row>
    <row r="38" spans="1:4" x14ac:dyDescent="0.3">
      <c r="A38" s="75">
        <v>41571</v>
      </c>
      <c r="B38" s="78" t="s">
        <v>69</v>
      </c>
      <c r="C38" s="78" t="s">
        <v>78</v>
      </c>
      <c r="D38" s="85">
        <v>388</v>
      </c>
    </row>
    <row r="39" spans="1:4" x14ac:dyDescent="0.3">
      <c r="A39" s="75">
        <v>41572</v>
      </c>
      <c r="B39" s="78" t="s">
        <v>67</v>
      </c>
      <c r="C39" s="78" t="s">
        <v>79</v>
      </c>
      <c r="D39" s="85">
        <v>119</v>
      </c>
    </row>
    <row r="40" spans="1:4" x14ac:dyDescent="0.3">
      <c r="A40" s="75">
        <v>41568</v>
      </c>
      <c r="B40" s="78" t="s">
        <v>63</v>
      </c>
      <c r="C40" s="78" t="s">
        <v>79</v>
      </c>
      <c r="D40" s="85">
        <v>296</v>
      </c>
    </row>
    <row r="41" spans="1:4" x14ac:dyDescent="0.3">
      <c r="A41" s="75">
        <v>41568</v>
      </c>
      <c r="B41" s="78" t="s">
        <v>67</v>
      </c>
      <c r="C41" s="78" t="s">
        <v>66</v>
      </c>
      <c r="D41" s="85">
        <v>295</v>
      </c>
    </row>
    <row r="42" spans="1:4" x14ac:dyDescent="0.3">
      <c r="A42" s="75">
        <v>41568</v>
      </c>
      <c r="B42" s="78" t="s">
        <v>67</v>
      </c>
      <c r="C42" s="78" t="s">
        <v>77</v>
      </c>
      <c r="D42" s="85">
        <v>120</v>
      </c>
    </row>
    <row r="43" spans="1:4" x14ac:dyDescent="0.3">
      <c r="A43" s="75">
        <v>41568</v>
      </c>
      <c r="B43" s="78" t="s">
        <v>63</v>
      </c>
      <c r="C43" s="78" t="s">
        <v>65</v>
      </c>
      <c r="D43" s="85">
        <v>647</v>
      </c>
    </row>
    <row r="44" spans="1:4" x14ac:dyDescent="0.3">
      <c r="A44" s="75">
        <v>41569</v>
      </c>
      <c r="B44" s="78" t="s">
        <v>67</v>
      </c>
      <c r="C44" s="78" t="s">
        <v>80</v>
      </c>
      <c r="D44" s="85">
        <v>159</v>
      </c>
    </row>
    <row r="45" spans="1:4" x14ac:dyDescent="0.3">
      <c r="A45" s="75">
        <v>41570</v>
      </c>
      <c r="B45" s="78" t="s">
        <v>67</v>
      </c>
      <c r="C45" s="78" t="s">
        <v>73</v>
      </c>
      <c r="D45" s="85">
        <v>217</v>
      </c>
    </row>
    <row r="46" spans="1:4" x14ac:dyDescent="0.3">
      <c r="A46" s="75">
        <v>41571</v>
      </c>
      <c r="B46" s="78" t="s">
        <v>69</v>
      </c>
      <c r="C46" s="78" t="s">
        <v>70</v>
      </c>
      <c r="D46" s="85">
        <v>362</v>
      </c>
    </row>
    <row r="47" spans="1:4" x14ac:dyDescent="0.3">
      <c r="A47" s="75">
        <v>41573</v>
      </c>
      <c r="B47" s="78" t="s">
        <v>69</v>
      </c>
      <c r="C47" s="78" t="s">
        <v>75</v>
      </c>
      <c r="D47" s="85">
        <v>599</v>
      </c>
    </row>
    <row r="48" spans="1:4" x14ac:dyDescent="0.3">
      <c r="A48" s="75">
        <v>41572</v>
      </c>
      <c r="B48" s="78" t="s">
        <v>63</v>
      </c>
      <c r="C48" s="78" t="s">
        <v>64</v>
      </c>
      <c r="D48" s="85">
        <v>546</v>
      </c>
    </row>
    <row r="49" spans="1:4" x14ac:dyDescent="0.3">
      <c r="A49" s="75">
        <v>41572</v>
      </c>
      <c r="B49" s="78" t="s">
        <v>67</v>
      </c>
      <c r="C49" s="78" t="s">
        <v>72</v>
      </c>
      <c r="D49" s="85">
        <v>254</v>
      </c>
    </row>
    <row r="50" spans="1:4" x14ac:dyDescent="0.3">
      <c r="A50" s="75">
        <v>41567</v>
      </c>
      <c r="B50" s="78" t="s">
        <v>63</v>
      </c>
      <c r="C50" s="78" t="s">
        <v>65</v>
      </c>
      <c r="D50" s="85">
        <v>101</v>
      </c>
    </row>
    <row r="51" spans="1:4" x14ac:dyDescent="0.3">
      <c r="A51" s="75">
        <v>41573</v>
      </c>
      <c r="B51" s="78" t="s">
        <v>69</v>
      </c>
      <c r="C51" s="78" t="s">
        <v>72</v>
      </c>
      <c r="D51" s="85">
        <v>150</v>
      </c>
    </row>
    <row r="52" spans="1:4" x14ac:dyDescent="0.3">
      <c r="A52" s="75">
        <v>41572</v>
      </c>
      <c r="B52" s="78" t="s">
        <v>69</v>
      </c>
      <c r="C52" s="78" t="s">
        <v>71</v>
      </c>
      <c r="D52" s="85">
        <v>204</v>
      </c>
    </row>
    <row r="53" spans="1:4" x14ac:dyDescent="0.3">
      <c r="A53" s="75">
        <v>41571</v>
      </c>
      <c r="B53" s="78" t="s">
        <v>69</v>
      </c>
      <c r="C53" s="78" t="s">
        <v>77</v>
      </c>
      <c r="D53" s="85">
        <v>106</v>
      </c>
    </row>
    <row r="54" spans="1:4" x14ac:dyDescent="0.3">
      <c r="A54" s="75">
        <v>41568</v>
      </c>
      <c r="B54" s="78" t="s">
        <v>63</v>
      </c>
      <c r="C54" s="78" t="s">
        <v>71</v>
      </c>
      <c r="D54" s="85">
        <v>333</v>
      </c>
    </row>
    <row r="55" spans="1:4" x14ac:dyDescent="0.3">
      <c r="A55" s="75">
        <v>41571</v>
      </c>
      <c r="B55" s="78" t="s">
        <v>67</v>
      </c>
      <c r="C55" s="78" t="s">
        <v>71</v>
      </c>
      <c r="D55" s="85">
        <v>67</v>
      </c>
    </row>
    <row r="56" spans="1:4" x14ac:dyDescent="0.3">
      <c r="A56" s="75">
        <v>41567</v>
      </c>
      <c r="B56" s="78" t="s">
        <v>67</v>
      </c>
      <c r="C56" s="78" t="s">
        <v>75</v>
      </c>
      <c r="D56" s="85">
        <v>51</v>
      </c>
    </row>
    <row r="57" spans="1:4" x14ac:dyDescent="0.3">
      <c r="A57" s="75">
        <v>41568</v>
      </c>
      <c r="B57" s="78" t="s">
        <v>69</v>
      </c>
      <c r="C57" s="78" t="s">
        <v>72</v>
      </c>
      <c r="D57" s="85">
        <v>279</v>
      </c>
    </row>
    <row r="58" spans="1:4" x14ac:dyDescent="0.3">
      <c r="A58" s="75">
        <v>41571</v>
      </c>
      <c r="B58" s="78" t="s">
        <v>69</v>
      </c>
      <c r="C58" s="78" t="s">
        <v>81</v>
      </c>
      <c r="D58" s="85">
        <v>123</v>
      </c>
    </row>
    <row r="59" spans="1:4" x14ac:dyDescent="0.3">
      <c r="A59" s="75">
        <v>41568</v>
      </c>
      <c r="B59" s="78" t="s">
        <v>63</v>
      </c>
      <c r="C59" s="78" t="s">
        <v>68</v>
      </c>
      <c r="D59" s="85">
        <v>519</v>
      </c>
    </row>
    <row r="60" spans="1:4" x14ac:dyDescent="0.3">
      <c r="A60" s="75">
        <v>41569</v>
      </c>
      <c r="B60" s="78" t="s">
        <v>67</v>
      </c>
      <c r="C60" s="78" t="s">
        <v>74</v>
      </c>
      <c r="D60" s="85">
        <v>501</v>
      </c>
    </row>
    <row r="61" spans="1:4" x14ac:dyDescent="0.3">
      <c r="A61" s="75">
        <v>41573</v>
      </c>
      <c r="B61" s="78" t="s">
        <v>63</v>
      </c>
      <c r="C61" s="78" t="s">
        <v>79</v>
      </c>
      <c r="D61" s="85">
        <v>235</v>
      </c>
    </row>
    <row r="62" spans="1:4" x14ac:dyDescent="0.3">
      <c r="A62" s="75">
        <v>41570</v>
      </c>
      <c r="B62" s="78" t="s">
        <v>69</v>
      </c>
      <c r="C62" s="78" t="s">
        <v>66</v>
      </c>
      <c r="D62" s="85">
        <v>35</v>
      </c>
    </row>
    <row r="63" spans="1:4" x14ac:dyDescent="0.3">
      <c r="A63" s="75">
        <v>41570</v>
      </c>
      <c r="B63" s="78" t="s">
        <v>63</v>
      </c>
      <c r="C63" s="78" t="s">
        <v>68</v>
      </c>
      <c r="D63" s="85">
        <v>319</v>
      </c>
    </row>
    <row r="64" spans="1:4" x14ac:dyDescent="0.3">
      <c r="A64" s="75">
        <v>41571</v>
      </c>
      <c r="B64" s="78" t="s">
        <v>67</v>
      </c>
      <c r="C64" s="78" t="s">
        <v>66</v>
      </c>
      <c r="D64" s="85">
        <v>551</v>
      </c>
    </row>
    <row r="65" spans="1:4" x14ac:dyDescent="0.3">
      <c r="A65" s="75">
        <v>41573</v>
      </c>
      <c r="B65" s="78" t="s">
        <v>69</v>
      </c>
      <c r="C65" s="78" t="s">
        <v>78</v>
      </c>
      <c r="D65" s="85">
        <v>188</v>
      </c>
    </row>
    <row r="66" spans="1:4" x14ac:dyDescent="0.3">
      <c r="A66" s="75">
        <v>41572</v>
      </c>
      <c r="B66" s="78" t="s">
        <v>63</v>
      </c>
      <c r="C66" s="78" t="s">
        <v>79</v>
      </c>
      <c r="D66" s="85">
        <v>129</v>
      </c>
    </row>
    <row r="67" spans="1:4" x14ac:dyDescent="0.3">
      <c r="A67" s="75">
        <v>41567</v>
      </c>
      <c r="B67" s="78" t="s">
        <v>63</v>
      </c>
      <c r="C67" s="78" t="s">
        <v>77</v>
      </c>
      <c r="D67" s="85">
        <v>339</v>
      </c>
    </row>
    <row r="68" spans="1:4" x14ac:dyDescent="0.3">
      <c r="A68" s="75">
        <v>41568</v>
      </c>
      <c r="B68" s="78" t="s">
        <v>69</v>
      </c>
      <c r="C68" s="78" t="s">
        <v>79</v>
      </c>
      <c r="D68" s="85">
        <v>485</v>
      </c>
    </row>
    <row r="69" spans="1:4" x14ac:dyDescent="0.3">
      <c r="A69" s="75">
        <v>41567</v>
      </c>
      <c r="B69" s="78" t="s">
        <v>63</v>
      </c>
      <c r="C69" s="78" t="s">
        <v>74</v>
      </c>
      <c r="D69" s="85">
        <v>29</v>
      </c>
    </row>
    <row r="70" spans="1:4" x14ac:dyDescent="0.3">
      <c r="A70" s="75">
        <v>41567</v>
      </c>
      <c r="B70" s="78" t="s">
        <v>69</v>
      </c>
      <c r="C70" s="78" t="s">
        <v>70</v>
      </c>
      <c r="D70" s="85">
        <v>135</v>
      </c>
    </row>
    <row r="71" spans="1:4" x14ac:dyDescent="0.3">
      <c r="A71" s="75">
        <v>41573</v>
      </c>
      <c r="B71" s="78" t="s">
        <v>69</v>
      </c>
      <c r="C71" s="78" t="s">
        <v>64</v>
      </c>
      <c r="D71" s="85">
        <v>584</v>
      </c>
    </row>
    <row r="72" spans="1:4" x14ac:dyDescent="0.3">
      <c r="A72" s="75">
        <v>41570</v>
      </c>
      <c r="B72" s="78" t="s">
        <v>67</v>
      </c>
      <c r="C72" s="78" t="s">
        <v>72</v>
      </c>
      <c r="D72" s="85">
        <v>684</v>
      </c>
    </row>
    <row r="73" spans="1:4" x14ac:dyDescent="0.3">
      <c r="A73" s="75">
        <v>41570</v>
      </c>
      <c r="B73" s="78" t="s">
        <v>63</v>
      </c>
      <c r="C73" s="78" t="s">
        <v>68</v>
      </c>
      <c r="D73" s="85">
        <v>528</v>
      </c>
    </row>
    <row r="74" spans="1:4" x14ac:dyDescent="0.3">
      <c r="A74" s="75">
        <v>41573</v>
      </c>
      <c r="B74" s="78" t="s">
        <v>69</v>
      </c>
      <c r="C74" s="78" t="s">
        <v>72</v>
      </c>
      <c r="D74" s="85">
        <v>675</v>
      </c>
    </row>
    <row r="75" spans="1:4" x14ac:dyDescent="0.3">
      <c r="A75" s="75">
        <v>41570</v>
      </c>
      <c r="B75" s="78" t="s">
        <v>63</v>
      </c>
      <c r="C75" s="78" t="s">
        <v>77</v>
      </c>
      <c r="D75" s="85">
        <v>119</v>
      </c>
    </row>
    <row r="76" spans="1:4" x14ac:dyDescent="0.3">
      <c r="A76" s="75">
        <v>41569</v>
      </c>
      <c r="B76" s="78" t="s">
        <v>63</v>
      </c>
      <c r="C76" s="78" t="s">
        <v>70</v>
      </c>
      <c r="D76" s="85">
        <v>368</v>
      </c>
    </row>
    <row r="77" spans="1:4" x14ac:dyDescent="0.3">
      <c r="A77" s="75">
        <v>41571</v>
      </c>
      <c r="B77" s="78" t="s">
        <v>69</v>
      </c>
      <c r="C77" s="78" t="s">
        <v>82</v>
      </c>
      <c r="D77" s="85">
        <v>524</v>
      </c>
    </row>
    <row r="78" spans="1:4" x14ac:dyDescent="0.3">
      <c r="A78" s="75">
        <v>41571</v>
      </c>
      <c r="B78" s="78" t="s">
        <v>69</v>
      </c>
      <c r="C78" s="78" t="s">
        <v>72</v>
      </c>
      <c r="D78" s="85">
        <v>329</v>
      </c>
    </row>
    <row r="79" spans="1:4" x14ac:dyDescent="0.3">
      <c r="A79" s="75">
        <v>41573</v>
      </c>
      <c r="B79" s="78" t="s">
        <v>63</v>
      </c>
      <c r="C79" s="78" t="s">
        <v>83</v>
      </c>
      <c r="D79" s="85">
        <v>146</v>
      </c>
    </row>
    <row r="80" spans="1:4" x14ac:dyDescent="0.3">
      <c r="A80" s="75">
        <v>41573</v>
      </c>
      <c r="B80" s="78" t="s">
        <v>67</v>
      </c>
      <c r="C80" s="78" t="s">
        <v>68</v>
      </c>
      <c r="D80" s="85">
        <v>350</v>
      </c>
    </row>
    <row r="81" spans="1:4" x14ac:dyDescent="0.3">
      <c r="A81" s="75">
        <v>41570</v>
      </c>
      <c r="B81" s="78" t="s">
        <v>69</v>
      </c>
      <c r="C81" s="78" t="s">
        <v>78</v>
      </c>
      <c r="D81" s="85">
        <v>387</v>
      </c>
    </row>
    <row r="82" spans="1:4" x14ac:dyDescent="0.3">
      <c r="A82" s="75">
        <v>41567</v>
      </c>
      <c r="B82" s="78" t="s">
        <v>69</v>
      </c>
      <c r="C82" s="78" t="s">
        <v>84</v>
      </c>
      <c r="D82" s="85">
        <v>244</v>
      </c>
    </row>
    <row r="83" spans="1:4" x14ac:dyDescent="0.3">
      <c r="A83" s="75">
        <v>41570</v>
      </c>
      <c r="B83" s="78" t="s">
        <v>69</v>
      </c>
      <c r="C83" s="78" t="s">
        <v>79</v>
      </c>
      <c r="D83" s="85">
        <v>388</v>
      </c>
    </row>
    <row r="84" spans="1:4" x14ac:dyDescent="0.3">
      <c r="A84" s="75">
        <v>41567</v>
      </c>
      <c r="B84" s="78" t="s">
        <v>69</v>
      </c>
      <c r="C84" s="78" t="s">
        <v>78</v>
      </c>
      <c r="D84" s="85">
        <v>449</v>
      </c>
    </row>
    <row r="85" spans="1:4" x14ac:dyDescent="0.3">
      <c r="A85" s="75">
        <v>41569</v>
      </c>
      <c r="B85" s="78" t="s">
        <v>63</v>
      </c>
      <c r="C85" s="78" t="s">
        <v>78</v>
      </c>
      <c r="D85" s="85">
        <v>477</v>
      </c>
    </row>
    <row r="86" spans="1:4" x14ac:dyDescent="0.3">
      <c r="A86" s="75">
        <v>41570</v>
      </c>
      <c r="B86" s="78" t="s">
        <v>69</v>
      </c>
      <c r="C86" s="78" t="s">
        <v>85</v>
      </c>
      <c r="D86" s="85">
        <v>457</v>
      </c>
    </row>
    <row r="87" spans="1:4" x14ac:dyDescent="0.3">
      <c r="A87" s="75">
        <v>41573</v>
      </c>
      <c r="B87" s="78" t="s">
        <v>69</v>
      </c>
      <c r="C87" s="78" t="s">
        <v>66</v>
      </c>
      <c r="D87" s="85">
        <v>105</v>
      </c>
    </row>
    <row r="88" spans="1:4" x14ac:dyDescent="0.3">
      <c r="A88" s="75">
        <v>41569</v>
      </c>
      <c r="B88" s="78" t="s">
        <v>63</v>
      </c>
      <c r="C88" s="78" t="s">
        <v>83</v>
      </c>
      <c r="D88" s="85">
        <v>458</v>
      </c>
    </row>
    <row r="89" spans="1:4" x14ac:dyDescent="0.3">
      <c r="A89" s="75">
        <v>41573</v>
      </c>
      <c r="B89" s="78" t="s">
        <v>67</v>
      </c>
      <c r="C89" s="78" t="s">
        <v>65</v>
      </c>
      <c r="D89" s="85">
        <v>110</v>
      </c>
    </row>
    <row r="90" spans="1:4" x14ac:dyDescent="0.3">
      <c r="A90" s="75">
        <v>41568</v>
      </c>
      <c r="B90" s="78" t="s">
        <v>63</v>
      </c>
      <c r="C90" s="78" t="s">
        <v>78</v>
      </c>
      <c r="D90" s="85">
        <v>32</v>
      </c>
    </row>
    <row r="91" spans="1:4" x14ac:dyDescent="0.3">
      <c r="A91" s="75">
        <v>41571</v>
      </c>
      <c r="B91" s="78" t="s">
        <v>63</v>
      </c>
      <c r="C91" s="78" t="s">
        <v>86</v>
      </c>
      <c r="D91" s="85">
        <v>681</v>
      </c>
    </row>
    <row r="92" spans="1:4" x14ac:dyDescent="0.3">
      <c r="A92" s="75">
        <v>41570</v>
      </c>
      <c r="B92" s="78" t="s">
        <v>67</v>
      </c>
      <c r="C92" s="78" t="s">
        <v>66</v>
      </c>
      <c r="D92" s="85">
        <v>320</v>
      </c>
    </row>
    <row r="93" spans="1:4" x14ac:dyDescent="0.3">
      <c r="A93" s="75">
        <v>41572</v>
      </c>
      <c r="B93" s="78" t="s">
        <v>67</v>
      </c>
      <c r="C93" s="78" t="s">
        <v>82</v>
      </c>
      <c r="D93" s="85">
        <v>601</v>
      </c>
    </row>
    <row r="94" spans="1:4" x14ac:dyDescent="0.3">
      <c r="A94" s="75">
        <v>41572</v>
      </c>
      <c r="B94" s="78" t="s">
        <v>69</v>
      </c>
      <c r="C94" s="78" t="s">
        <v>74</v>
      </c>
      <c r="D94" s="85">
        <v>101</v>
      </c>
    </row>
    <row r="95" spans="1:4" x14ac:dyDescent="0.3">
      <c r="A95" s="75">
        <v>41570</v>
      </c>
      <c r="B95" s="78" t="s">
        <v>67</v>
      </c>
      <c r="C95" s="78" t="s">
        <v>85</v>
      </c>
      <c r="D95" s="85">
        <v>172</v>
      </c>
    </row>
    <row r="96" spans="1:4" x14ac:dyDescent="0.3">
      <c r="A96" s="75">
        <v>41567</v>
      </c>
      <c r="B96" s="78" t="s">
        <v>63</v>
      </c>
      <c r="C96" s="78" t="s">
        <v>77</v>
      </c>
      <c r="D96" s="85">
        <v>197</v>
      </c>
    </row>
    <row r="97" spans="1:4" x14ac:dyDescent="0.3">
      <c r="A97" s="75">
        <v>41569</v>
      </c>
      <c r="B97" s="78" t="s">
        <v>63</v>
      </c>
      <c r="C97" s="78" t="s">
        <v>68</v>
      </c>
      <c r="D97" s="85">
        <v>346</v>
      </c>
    </row>
    <row r="98" spans="1:4" x14ac:dyDescent="0.3">
      <c r="A98" s="75">
        <v>41573</v>
      </c>
      <c r="B98" s="78" t="s">
        <v>63</v>
      </c>
      <c r="C98" s="78" t="s">
        <v>87</v>
      </c>
      <c r="D98" s="85">
        <v>318</v>
      </c>
    </row>
    <row r="99" spans="1:4" x14ac:dyDescent="0.3">
      <c r="A99" s="75">
        <v>41568</v>
      </c>
      <c r="B99" s="78" t="s">
        <v>63</v>
      </c>
      <c r="C99" s="78" t="s">
        <v>87</v>
      </c>
      <c r="D99" s="85">
        <v>245</v>
      </c>
    </row>
    <row r="100" spans="1:4" x14ac:dyDescent="0.3">
      <c r="A100" s="75">
        <v>41572</v>
      </c>
      <c r="B100" s="78" t="s">
        <v>69</v>
      </c>
      <c r="C100" s="78" t="s">
        <v>79</v>
      </c>
      <c r="D100" s="85">
        <v>498</v>
      </c>
    </row>
    <row r="101" spans="1:4" x14ac:dyDescent="0.3">
      <c r="A101" s="75">
        <v>41573</v>
      </c>
      <c r="B101" s="78" t="s">
        <v>69</v>
      </c>
      <c r="C101" s="78" t="s">
        <v>72</v>
      </c>
      <c r="D101" s="85">
        <v>272</v>
      </c>
    </row>
    <row r="102" spans="1:4" x14ac:dyDescent="0.3">
      <c r="A102" s="75">
        <v>41568</v>
      </c>
      <c r="B102" s="78" t="s">
        <v>69</v>
      </c>
      <c r="C102" s="78" t="s">
        <v>79</v>
      </c>
      <c r="D102" s="85">
        <v>424</v>
      </c>
    </row>
    <row r="103" spans="1:4" x14ac:dyDescent="0.3">
      <c r="A103" s="75">
        <v>41573</v>
      </c>
      <c r="B103" s="78" t="s">
        <v>67</v>
      </c>
      <c r="C103" s="78" t="s">
        <v>72</v>
      </c>
      <c r="D103" s="85">
        <v>122</v>
      </c>
    </row>
    <row r="104" spans="1:4" x14ac:dyDescent="0.3">
      <c r="A104" s="75">
        <v>41570</v>
      </c>
      <c r="B104" s="78" t="s">
        <v>69</v>
      </c>
      <c r="C104" s="78" t="s">
        <v>72</v>
      </c>
      <c r="D104" s="85">
        <v>39</v>
      </c>
    </row>
    <row r="105" spans="1:4" x14ac:dyDescent="0.3">
      <c r="A105" s="75">
        <v>41568</v>
      </c>
      <c r="B105" s="78" t="s">
        <v>69</v>
      </c>
      <c r="C105" s="78" t="s">
        <v>64</v>
      </c>
      <c r="D105" s="85">
        <v>400</v>
      </c>
    </row>
    <row r="106" spans="1:4" x14ac:dyDescent="0.3">
      <c r="A106" s="75">
        <v>41573</v>
      </c>
      <c r="B106" s="78" t="s">
        <v>63</v>
      </c>
      <c r="C106" s="78" t="s">
        <v>68</v>
      </c>
      <c r="D106" s="85">
        <v>416</v>
      </c>
    </row>
    <row r="107" spans="1:4" x14ac:dyDescent="0.3">
      <c r="A107" s="75">
        <v>41567</v>
      </c>
      <c r="B107" s="78" t="s">
        <v>69</v>
      </c>
      <c r="C107" s="78" t="s">
        <v>75</v>
      </c>
      <c r="D107" s="85">
        <v>397</v>
      </c>
    </row>
    <row r="108" spans="1:4" x14ac:dyDescent="0.3">
      <c r="A108" s="75">
        <v>41572</v>
      </c>
      <c r="B108" s="78" t="s">
        <v>67</v>
      </c>
      <c r="C108" s="78" t="s">
        <v>71</v>
      </c>
      <c r="D108" s="85">
        <v>671</v>
      </c>
    </row>
    <row r="109" spans="1:4" x14ac:dyDescent="0.3">
      <c r="A109" s="75">
        <v>41572</v>
      </c>
      <c r="B109" s="78" t="s">
        <v>69</v>
      </c>
      <c r="C109" s="78" t="s">
        <v>68</v>
      </c>
      <c r="D109" s="85">
        <v>148</v>
      </c>
    </row>
    <row r="110" spans="1:4" x14ac:dyDescent="0.3">
      <c r="A110" s="75">
        <v>41568</v>
      </c>
      <c r="B110" s="78" t="s">
        <v>67</v>
      </c>
      <c r="C110" s="78" t="s">
        <v>76</v>
      </c>
      <c r="D110" s="85">
        <v>115</v>
      </c>
    </row>
    <row r="111" spans="1:4" x14ac:dyDescent="0.3">
      <c r="A111" s="75">
        <v>41572</v>
      </c>
      <c r="B111" s="78" t="s">
        <v>67</v>
      </c>
      <c r="C111" s="78" t="s">
        <v>88</v>
      </c>
      <c r="D111" s="85">
        <v>639</v>
      </c>
    </row>
    <row r="112" spans="1:4" x14ac:dyDescent="0.3">
      <c r="A112" s="75">
        <v>41571</v>
      </c>
      <c r="B112" s="78" t="s">
        <v>69</v>
      </c>
      <c r="C112" s="78" t="s">
        <v>79</v>
      </c>
      <c r="D112" s="85">
        <v>659</v>
      </c>
    </row>
    <row r="113" spans="1:4" x14ac:dyDescent="0.3">
      <c r="A113" s="75">
        <v>41569</v>
      </c>
      <c r="B113" s="78" t="s">
        <v>63</v>
      </c>
      <c r="C113" s="78" t="s">
        <v>66</v>
      </c>
      <c r="D113" s="85">
        <v>36</v>
      </c>
    </row>
    <row r="114" spans="1:4" x14ac:dyDescent="0.3">
      <c r="A114" s="75">
        <v>41568</v>
      </c>
      <c r="B114" s="78" t="s">
        <v>67</v>
      </c>
      <c r="C114" s="78" t="s">
        <v>76</v>
      </c>
      <c r="D114" s="85">
        <v>102</v>
      </c>
    </row>
    <row r="115" spans="1:4" x14ac:dyDescent="0.3">
      <c r="A115" s="75">
        <v>41569</v>
      </c>
      <c r="B115" s="78" t="s">
        <v>63</v>
      </c>
      <c r="C115" s="78" t="s">
        <v>74</v>
      </c>
      <c r="D115" s="85">
        <v>413</v>
      </c>
    </row>
    <row r="116" spans="1:4" x14ac:dyDescent="0.3">
      <c r="A116" s="75">
        <v>41572</v>
      </c>
      <c r="B116" s="78" t="s">
        <v>63</v>
      </c>
      <c r="C116" s="78" t="s">
        <v>78</v>
      </c>
      <c r="D116" s="85">
        <v>166</v>
      </c>
    </row>
    <row r="117" spans="1:4" x14ac:dyDescent="0.3">
      <c r="A117" s="75">
        <v>41569</v>
      </c>
      <c r="B117" s="78" t="s">
        <v>63</v>
      </c>
      <c r="C117" s="78" t="s">
        <v>70</v>
      </c>
      <c r="D117" s="85">
        <v>97</v>
      </c>
    </row>
    <row r="118" spans="1:4" x14ac:dyDescent="0.3">
      <c r="A118" s="75">
        <v>41573</v>
      </c>
      <c r="B118" s="78" t="s">
        <v>63</v>
      </c>
      <c r="C118" s="78" t="s">
        <v>83</v>
      </c>
      <c r="D118" s="85">
        <v>127</v>
      </c>
    </row>
    <row r="119" spans="1:4" x14ac:dyDescent="0.3">
      <c r="A119" s="75">
        <v>41567</v>
      </c>
      <c r="B119" s="78" t="s">
        <v>67</v>
      </c>
      <c r="C119" s="78" t="s">
        <v>89</v>
      </c>
      <c r="D119" s="85">
        <v>60</v>
      </c>
    </row>
    <row r="120" spans="1:4" x14ac:dyDescent="0.3">
      <c r="A120" s="75">
        <v>41569</v>
      </c>
      <c r="B120" s="78" t="s">
        <v>69</v>
      </c>
      <c r="C120" s="78" t="s">
        <v>74</v>
      </c>
      <c r="D120" s="85">
        <v>496</v>
      </c>
    </row>
    <row r="121" spans="1:4" x14ac:dyDescent="0.3">
      <c r="A121" s="75">
        <v>41570</v>
      </c>
      <c r="B121" s="78" t="s">
        <v>67</v>
      </c>
      <c r="C121" s="78" t="s">
        <v>83</v>
      </c>
      <c r="D121" s="85">
        <v>204</v>
      </c>
    </row>
    <row r="122" spans="1:4" x14ac:dyDescent="0.3">
      <c r="A122" s="75">
        <v>41573</v>
      </c>
      <c r="B122" s="78" t="s">
        <v>67</v>
      </c>
      <c r="C122" s="78" t="s">
        <v>68</v>
      </c>
      <c r="D122" s="85">
        <v>489</v>
      </c>
    </row>
    <row r="123" spans="1:4" x14ac:dyDescent="0.3">
      <c r="A123" s="75">
        <v>41567</v>
      </c>
      <c r="B123" s="78" t="s">
        <v>63</v>
      </c>
      <c r="C123" s="78" t="s">
        <v>84</v>
      </c>
      <c r="D123" s="85">
        <v>266</v>
      </c>
    </row>
    <row r="124" spans="1:4" x14ac:dyDescent="0.3">
      <c r="A124" s="75">
        <v>41567</v>
      </c>
      <c r="B124" s="78" t="s">
        <v>67</v>
      </c>
      <c r="C124" s="78" t="s">
        <v>79</v>
      </c>
      <c r="D124" s="85">
        <v>364</v>
      </c>
    </row>
    <row r="125" spans="1:4" x14ac:dyDescent="0.3">
      <c r="A125" s="75">
        <v>41567</v>
      </c>
      <c r="B125" s="78" t="s">
        <v>67</v>
      </c>
      <c r="C125" s="78" t="s">
        <v>66</v>
      </c>
      <c r="D125" s="85">
        <v>579</v>
      </c>
    </row>
    <row r="126" spans="1:4" x14ac:dyDescent="0.3">
      <c r="A126" s="75">
        <v>41568</v>
      </c>
      <c r="B126" s="78" t="s">
        <v>63</v>
      </c>
      <c r="C126" s="78" t="s">
        <v>84</v>
      </c>
      <c r="D126" s="85">
        <v>587</v>
      </c>
    </row>
    <row r="127" spans="1:4" x14ac:dyDescent="0.3">
      <c r="A127" s="75">
        <v>41573</v>
      </c>
      <c r="B127" s="78" t="s">
        <v>63</v>
      </c>
      <c r="C127" s="78" t="s">
        <v>89</v>
      </c>
      <c r="D127" s="85">
        <v>543</v>
      </c>
    </row>
    <row r="128" spans="1:4" x14ac:dyDescent="0.3">
      <c r="A128" s="75">
        <v>41569</v>
      </c>
      <c r="B128" s="78" t="s">
        <v>67</v>
      </c>
      <c r="C128" s="78" t="s">
        <v>74</v>
      </c>
      <c r="D128" s="85">
        <v>644</v>
      </c>
    </row>
    <row r="129" spans="1:4" x14ac:dyDescent="0.3">
      <c r="A129" s="75">
        <v>41567</v>
      </c>
      <c r="B129" s="78" t="s">
        <v>63</v>
      </c>
      <c r="C129" s="78" t="s">
        <v>68</v>
      </c>
      <c r="D129" s="85">
        <v>564</v>
      </c>
    </row>
    <row r="130" spans="1:4" x14ac:dyDescent="0.3">
      <c r="A130" s="75">
        <v>41569</v>
      </c>
      <c r="B130" s="78" t="s">
        <v>69</v>
      </c>
      <c r="C130" s="78" t="s">
        <v>84</v>
      </c>
      <c r="D130" s="85">
        <v>149</v>
      </c>
    </row>
    <row r="131" spans="1:4" x14ac:dyDescent="0.3">
      <c r="A131" s="75">
        <v>41570</v>
      </c>
      <c r="B131" s="78" t="s">
        <v>69</v>
      </c>
      <c r="C131" s="78" t="s">
        <v>66</v>
      </c>
      <c r="D131" s="85">
        <v>201</v>
      </c>
    </row>
    <row r="132" spans="1:4" x14ac:dyDescent="0.3">
      <c r="A132" s="75">
        <v>41572</v>
      </c>
      <c r="B132" s="78" t="s">
        <v>63</v>
      </c>
      <c r="C132" s="78" t="s">
        <v>89</v>
      </c>
      <c r="D132" s="85">
        <v>51</v>
      </c>
    </row>
    <row r="133" spans="1:4" x14ac:dyDescent="0.3">
      <c r="A133" s="75">
        <v>41570</v>
      </c>
      <c r="B133" s="78" t="s">
        <v>63</v>
      </c>
      <c r="C133" s="78" t="s">
        <v>71</v>
      </c>
      <c r="D133" s="85">
        <v>195</v>
      </c>
    </row>
    <row r="134" spans="1:4" x14ac:dyDescent="0.3">
      <c r="A134" s="75">
        <v>41573</v>
      </c>
      <c r="B134" s="78" t="s">
        <v>67</v>
      </c>
      <c r="C134" s="78" t="s">
        <v>70</v>
      </c>
      <c r="D134" s="85">
        <v>660</v>
      </c>
    </row>
    <row r="135" spans="1:4" x14ac:dyDescent="0.3">
      <c r="A135" s="75">
        <v>41568</v>
      </c>
      <c r="B135" s="78" t="s">
        <v>67</v>
      </c>
      <c r="C135" s="78" t="s">
        <v>71</v>
      </c>
      <c r="D135" s="85">
        <v>523</v>
      </c>
    </row>
    <row r="136" spans="1:4" x14ac:dyDescent="0.3">
      <c r="A136" s="75">
        <v>41570</v>
      </c>
      <c r="B136" s="78" t="s">
        <v>63</v>
      </c>
      <c r="C136" s="78" t="s">
        <v>79</v>
      </c>
      <c r="D136" s="85">
        <v>649</v>
      </c>
    </row>
    <row r="137" spans="1:4" x14ac:dyDescent="0.3">
      <c r="A137" s="75">
        <v>41572</v>
      </c>
      <c r="B137" s="78" t="s">
        <v>69</v>
      </c>
      <c r="C137" s="78" t="s">
        <v>65</v>
      </c>
      <c r="D137" s="85">
        <v>409</v>
      </c>
    </row>
    <row r="138" spans="1:4" x14ac:dyDescent="0.3">
      <c r="A138" s="75">
        <v>41567</v>
      </c>
      <c r="B138" s="78" t="s">
        <v>67</v>
      </c>
      <c r="C138" s="78" t="s">
        <v>75</v>
      </c>
      <c r="D138" s="85">
        <v>556</v>
      </c>
    </row>
    <row r="139" spans="1:4" x14ac:dyDescent="0.3">
      <c r="A139" s="75">
        <v>41569</v>
      </c>
      <c r="B139" s="78" t="s">
        <v>67</v>
      </c>
      <c r="C139" s="78" t="s">
        <v>70</v>
      </c>
      <c r="D139" s="85">
        <v>565</v>
      </c>
    </row>
    <row r="140" spans="1:4" x14ac:dyDescent="0.3">
      <c r="A140" s="75">
        <v>41567</v>
      </c>
      <c r="B140" s="78" t="s">
        <v>69</v>
      </c>
      <c r="C140" s="78" t="s">
        <v>65</v>
      </c>
      <c r="D140" s="85">
        <v>357</v>
      </c>
    </row>
    <row r="141" spans="1:4" x14ac:dyDescent="0.3">
      <c r="A141" s="75">
        <v>41572</v>
      </c>
      <c r="B141" s="78" t="s">
        <v>63</v>
      </c>
      <c r="C141" s="78" t="s">
        <v>73</v>
      </c>
      <c r="D141" s="85">
        <v>219</v>
      </c>
    </row>
    <row r="142" spans="1:4" x14ac:dyDescent="0.3">
      <c r="A142" s="75">
        <v>41572</v>
      </c>
      <c r="B142" s="78" t="s">
        <v>67</v>
      </c>
      <c r="C142" s="78" t="s">
        <v>82</v>
      </c>
      <c r="D142" s="85">
        <v>327</v>
      </c>
    </row>
    <row r="143" spans="1:4" x14ac:dyDescent="0.3">
      <c r="A143" s="75">
        <v>41567</v>
      </c>
      <c r="B143" s="78" t="s">
        <v>69</v>
      </c>
      <c r="C143" s="78" t="s">
        <v>75</v>
      </c>
      <c r="D143" s="85">
        <v>666</v>
      </c>
    </row>
    <row r="144" spans="1:4" x14ac:dyDescent="0.3">
      <c r="A144" s="75">
        <v>41567</v>
      </c>
      <c r="B144" s="78" t="s">
        <v>67</v>
      </c>
      <c r="C144" s="78" t="s">
        <v>82</v>
      </c>
      <c r="D144" s="85">
        <v>290</v>
      </c>
    </row>
    <row r="145" spans="1:4" x14ac:dyDescent="0.3">
      <c r="A145" s="75">
        <v>41571</v>
      </c>
      <c r="B145" s="78" t="s">
        <v>67</v>
      </c>
      <c r="C145" s="78" t="s">
        <v>65</v>
      </c>
      <c r="D145" s="85">
        <v>64</v>
      </c>
    </row>
    <row r="146" spans="1:4" x14ac:dyDescent="0.3">
      <c r="A146" s="75">
        <v>41571</v>
      </c>
      <c r="B146" s="78" t="s">
        <v>63</v>
      </c>
      <c r="C146" s="78" t="s">
        <v>78</v>
      </c>
      <c r="D146" s="85">
        <v>373</v>
      </c>
    </row>
    <row r="147" spans="1:4" x14ac:dyDescent="0.3">
      <c r="A147" s="75">
        <v>41573</v>
      </c>
      <c r="B147" s="78" t="s">
        <v>67</v>
      </c>
      <c r="C147" s="78" t="s">
        <v>77</v>
      </c>
      <c r="D147" s="85">
        <v>249</v>
      </c>
    </row>
    <row r="148" spans="1:4" x14ac:dyDescent="0.3">
      <c r="A148" s="75">
        <v>41567</v>
      </c>
      <c r="B148" s="78" t="s">
        <v>67</v>
      </c>
      <c r="C148" s="78" t="s">
        <v>90</v>
      </c>
      <c r="D148" s="85">
        <v>237</v>
      </c>
    </row>
    <row r="149" spans="1:4" x14ac:dyDescent="0.3">
      <c r="A149" s="75">
        <v>41569</v>
      </c>
      <c r="B149" s="78" t="s">
        <v>63</v>
      </c>
      <c r="C149" s="78" t="s">
        <v>78</v>
      </c>
      <c r="D149" s="85">
        <v>138</v>
      </c>
    </row>
    <row r="150" spans="1:4" x14ac:dyDescent="0.3">
      <c r="A150" s="75">
        <v>41573</v>
      </c>
      <c r="B150" s="78" t="s">
        <v>63</v>
      </c>
      <c r="C150" s="78" t="s">
        <v>84</v>
      </c>
      <c r="D150" s="85">
        <v>324</v>
      </c>
    </row>
    <row r="151" spans="1:4" x14ac:dyDescent="0.3">
      <c r="A151" s="75">
        <v>41569</v>
      </c>
      <c r="B151" s="78" t="s">
        <v>69</v>
      </c>
      <c r="C151" s="78" t="s">
        <v>79</v>
      </c>
      <c r="D151" s="85">
        <v>633</v>
      </c>
    </row>
    <row r="152" spans="1:4" x14ac:dyDescent="0.3">
      <c r="A152" s="75">
        <v>41573</v>
      </c>
      <c r="B152" s="78" t="s">
        <v>69</v>
      </c>
      <c r="C152" s="78" t="s">
        <v>72</v>
      </c>
      <c r="D152" s="85">
        <v>240</v>
      </c>
    </row>
    <row r="153" spans="1:4" x14ac:dyDescent="0.3">
      <c r="A153" s="75">
        <v>41567</v>
      </c>
      <c r="B153" s="78" t="s">
        <v>69</v>
      </c>
      <c r="C153" s="78" t="s">
        <v>77</v>
      </c>
      <c r="D153" s="85">
        <v>615</v>
      </c>
    </row>
    <row r="154" spans="1:4" x14ac:dyDescent="0.3">
      <c r="A154" s="75">
        <v>41569</v>
      </c>
      <c r="B154" s="78" t="s">
        <v>69</v>
      </c>
      <c r="C154" s="78" t="s">
        <v>71</v>
      </c>
      <c r="D154" s="85">
        <v>180</v>
      </c>
    </row>
    <row r="155" spans="1:4" x14ac:dyDescent="0.3">
      <c r="A155" s="75">
        <v>41572</v>
      </c>
      <c r="B155" s="78" t="s">
        <v>63</v>
      </c>
      <c r="C155" s="78" t="s">
        <v>81</v>
      </c>
      <c r="D155" s="85">
        <v>415</v>
      </c>
    </row>
    <row r="156" spans="1:4" x14ac:dyDescent="0.3">
      <c r="A156" s="75">
        <v>41569</v>
      </c>
      <c r="B156" s="78" t="s">
        <v>63</v>
      </c>
      <c r="C156" s="78" t="s">
        <v>76</v>
      </c>
      <c r="D156" s="85">
        <v>305</v>
      </c>
    </row>
    <row r="157" spans="1:4" x14ac:dyDescent="0.3">
      <c r="A157" s="75">
        <v>41572</v>
      </c>
      <c r="B157" s="78" t="s">
        <v>67</v>
      </c>
      <c r="C157" s="78" t="s">
        <v>79</v>
      </c>
      <c r="D157" s="85">
        <v>657</v>
      </c>
    </row>
    <row r="158" spans="1:4" x14ac:dyDescent="0.3">
      <c r="A158" s="75">
        <v>41570</v>
      </c>
      <c r="B158" s="78" t="s">
        <v>63</v>
      </c>
      <c r="C158" s="78" t="s">
        <v>79</v>
      </c>
      <c r="D158" s="85">
        <v>474</v>
      </c>
    </row>
    <row r="159" spans="1:4" x14ac:dyDescent="0.3">
      <c r="A159" s="75">
        <v>41569</v>
      </c>
      <c r="B159" s="78" t="s">
        <v>63</v>
      </c>
      <c r="C159" s="78" t="s">
        <v>78</v>
      </c>
      <c r="D159" s="85">
        <v>611</v>
      </c>
    </row>
    <row r="160" spans="1:4" x14ac:dyDescent="0.3">
      <c r="A160" s="75">
        <v>41568</v>
      </c>
      <c r="B160" s="78" t="s">
        <v>63</v>
      </c>
      <c r="C160" s="78" t="s">
        <v>90</v>
      </c>
      <c r="D160" s="85">
        <v>682</v>
      </c>
    </row>
    <row r="161" spans="1:4" x14ac:dyDescent="0.3">
      <c r="A161" s="75">
        <v>41571</v>
      </c>
      <c r="B161" s="78" t="s">
        <v>67</v>
      </c>
      <c r="C161" s="78" t="s">
        <v>76</v>
      </c>
      <c r="D161" s="85">
        <v>398</v>
      </c>
    </row>
    <row r="162" spans="1:4" x14ac:dyDescent="0.3">
      <c r="A162" s="75">
        <v>41570</v>
      </c>
      <c r="B162" s="78" t="s">
        <v>67</v>
      </c>
      <c r="C162" s="78" t="s">
        <v>78</v>
      </c>
      <c r="D162" s="85">
        <v>74</v>
      </c>
    </row>
    <row r="163" spans="1:4" x14ac:dyDescent="0.3">
      <c r="A163" s="75">
        <v>41571</v>
      </c>
      <c r="B163" s="78" t="s">
        <v>63</v>
      </c>
      <c r="C163" s="78" t="s">
        <v>72</v>
      </c>
      <c r="D163" s="85">
        <v>243</v>
      </c>
    </row>
    <row r="164" spans="1:4" x14ac:dyDescent="0.3">
      <c r="A164" s="75">
        <v>41572</v>
      </c>
      <c r="B164" s="78" t="s">
        <v>63</v>
      </c>
      <c r="C164" s="78" t="s">
        <v>66</v>
      </c>
      <c r="D164" s="85">
        <v>151</v>
      </c>
    </row>
    <row r="165" spans="1:4" x14ac:dyDescent="0.3">
      <c r="A165" s="75">
        <v>41572</v>
      </c>
      <c r="B165" s="78" t="s">
        <v>67</v>
      </c>
      <c r="C165" s="78" t="s">
        <v>79</v>
      </c>
      <c r="D165" s="85">
        <v>174</v>
      </c>
    </row>
    <row r="166" spans="1:4" x14ac:dyDescent="0.3">
      <c r="A166" s="75">
        <v>41571</v>
      </c>
      <c r="B166" s="78" t="s">
        <v>67</v>
      </c>
      <c r="C166" s="78" t="s">
        <v>82</v>
      </c>
      <c r="D166" s="85">
        <v>304</v>
      </c>
    </row>
    <row r="167" spans="1:4" x14ac:dyDescent="0.3">
      <c r="A167" s="75">
        <v>41567</v>
      </c>
      <c r="B167" s="78" t="s">
        <v>63</v>
      </c>
      <c r="C167" s="78" t="s">
        <v>80</v>
      </c>
      <c r="D167" s="85">
        <v>457</v>
      </c>
    </row>
    <row r="168" spans="1:4" x14ac:dyDescent="0.3">
      <c r="A168" s="75">
        <v>41567</v>
      </c>
      <c r="B168" s="78" t="s">
        <v>69</v>
      </c>
      <c r="C168" s="78" t="s">
        <v>68</v>
      </c>
      <c r="D168" s="85">
        <v>315</v>
      </c>
    </row>
    <row r="169" spans="1:4" x14ac:dyDescent="0.3">
      <c r="A169" s="75">
        <v>41570</v>
      </c>
      <c r="B169" s="78" t="s">
        <v>67</v>
      </c>
      <c r="C169" s="78" t="s">
        <v>70</v>
      </c>
      <c r="D169" s="85">
        <v>295</v>
      </c>
    </row>
    <row r="170" spans="1:4" x14ac:dyDescent="0.3">
      <c r="A170" s="75">
        <v>41569</v>
      </c>
      <c r="B170" s="78" t="s">
        <v>67</v>
      </c>
      <c r="C170" s="78" t="s">
        <v>74</v>
      </c>
      <c r="D170" s="85">
        <v>534</v>
      </c>
    </row>
    <row r="171" spans="1:4" x14ac:dyDescent="0.3">
      <c r="A171" s="75">
        <v>41570</v>
      </c>
      <c r="B171" s="78" t="s">
        <v>63</v>
      </c>
      <c r="C171" s="78" t="s">
        <v>64</v>
      </c>
      <c r="D171" s="85">
        <v>598</v>
      </c>
    </row>
    <row r="172" spans="1:4" x14ac:dyDescent="0.3">
      <c r="A172" s="75">
        <v>41571</v>
      </c>
      <c r="B172" s="78" t="s">
        <v>69</v>
      </c>
      <c r="C172" s="78" t="s">
        <v>72</v>
      </c>
      <c r="D172" s="85">
        <v>14</v>
      </c>
    </row>
    <row r="173" spans="1:4" x14ac:dyDescent="0.3">
      <c r="A173" s="75">
        <v>41569</v>
      </c>
      <c r="B173" s="78" t="s">
        <v>69</v>
      </c>
      <c r="C173" s="78" t="s">
        <v>79</v>
      </c>
      <c r="D173" s="85">
        <v>26</v>
      </c>
    </row>
    <row r="174" spans="1:4" x14ac:dyDescent="0.3">
      <c r="A174" s="75">
        <v>41570</v>
      </c>
      <c r="B174" s="78" t="s">
        <v>63</v>
      </c>
      <c r="C174" s="78" t="s">
        <v>88</v>
      </c>
      <c r="D174" s="85">
        <v>108</v>
      </c>
    </row>
    <row r="175" spans="1:4" x14ac:dyDescent="0.3">
      <c r="A175" s="75">
        <v>41569</v>
      </c>
      <c r="B175" s="78" t="s">
        <v>63</v>
      </c>
      <c r="C175" s="78" t="s">
        <v>89</v>
      </c>
      <c r="D175" s="85">
        <v>114</v>
      </c>
    </row>
    <row r="176" spans="1:4" x14ac:dyDescent="0.3">
      <c r="A176" s="75">
        <v>41573</v>
      </c>
      <c r="B176" s="78" t="s">
        <v>67</v>
      </c>
      <c r="C176" s="78" t="s">
        <v>85</v>
      </c>
      <c r="D176" s="85">
        <v>684</v>
      </c>
    </row>
    <row r="177" spans="1:4" x14ac:dyDescent="0.3">
      <c r="A177" s="75">
        <v>41572</v>
      </c>
      <c r="B177" s="78" t="s">
        <v>63</v>
      </c>
      <c r="C177" s="78" t="s">
        <v>90</v>
      </c>
      <c r="D177" s="85">
        <v>258</v>
      </c>
    </row>
    <row r="178" spans="1:4" x14ac:dyDescent="0.3">
      <c r="A178" s="75">
        <v>41568</v>
      </c>
      <c r="B178" s="78" t="s">
        <v>67</v>
      </c>
      <c r="C178" s="78" t="s">
        <v>87</v>
      </c>
      <c r="D178" s="85">
        <v>439</v>
      </c>
    </row>
    <row r="179" spans="1:4" x14ac:dyDescent="0.3">
      <c r="A179" s="75">
        <v>41573</v>
      </c>
      <c r="B179" s="78" t="s">
        <v>67</v>
      </c>
      <c r="C179" s="78" t="s">
        <v>68</v>
      </c>
      <c r="D179" s="85">
        <v>583</v>
      </c>
    </row>
    <row r="180" spans="1:4" x14ac:dyDescent="0.3">
      <c r="A180" s="75">
        <v>41572</v>
      </c>
      <c r="B180" s="78" t="s">
        <v>63</v>
      </c>
      <c r="C180" s="78" t="s">
        <v>72</v>
      </c>
      <c r="D180" s="85">
        <v>664</v>
      </c>
    </row>
    <row r="181" spans="1:4" x14ac:dyDescent="0.3">
      <c r="A181" s="75">
        <v>41571</v>
      </c>
      <c r="B181" s="78" t="s">
        <v>63</v>
      </c>
      <c r="C181" s="78" t="s">
        <v>65</v>
      </c>
      <c r="D181" s="85">
        <v>339</v>
      </c>
    </row>
    <row r="182" spans="1:4" x14ac:dyDescent="0.3">
      <c r="A182" s="75">
        <v>41571</v>
      </c>
      <c r="B182" s="78" t="s">
        <v>67</v>
      </c>
      <c r="C182" s="78" t="s">
        <v>82</v>
      </c>
      <c r="D182" s="85">
        <v>164</v>
      </c>
    </row>
    <row r="183" spans="1:4" x14ac:dyDescent="0.3">
      <c r="A183" s="75">
        <v>41569</v>
      </c>
      <c r="B183" s="78" t="s">
        <v>69</v>
      </c>
      <c r="C183" s="78" t="s">
        <v>65</v>
      </c>
      <c r="D183" s="85">
        <v>671</v>
      </c>
    </row>
    <row r="184" spans="1:4" x14ac:dyDescent="0.3">
      <c r="A184" s="75">
        <v>41570</v>
      </c>
      <c r="B184" s="78" t="s">
        <v>69</v>
      </c>
      <c r="C184" s="78" t="s">
        <v>74</v>
      </c>
      <c r="D184" s="85">
        <v>241</v>
      </c>
    </row>
    <row r="185" spans="1:4" x14ac:dyDescent="0.3">
      <c r="A185" s="75">
        <v>41571</v>
      </c>
      <c r="B185" s="78" t="s">
        <v>63</v>
      </c>
      <c r="C185" s="78" t="s">
        <v>74</v>
      </c>
      <c r="D185" s="85">
        <v>257</v>
      </c>
    </row>
    <row r="186" spans="1:4" x14ac:dyDescent="0.3">
      <c r="A186" s="75">
        <v>41570</v>
      </c>
      <c r="B186" s="78" t="s">
        <v>67</v>
      </c>
      <c r="C186" s="78" t="s">
        <v>90</v>
      </c>
      <c r="D186" s="85">
        <v>264</v>
      </c>
    </row>
    <row r="187" spans="1:4" x14ac:dyDescent="0.3">
      <c r="A187" s="75">
        <v>41573</v>
      </c>
      <c r="B187" s="78" t="s">
        <v>63</v>
      </c>
      <c r="C187" s="78" t="s">
        <v>74</v>
      </c>
      <c r="D187" s="85">
        <v>471</v>
      </c>
    </row>
    <row r="188" spans="1:4" x14ac:dyDescent="0.3">
      <c r="A188" s="75">
        <v>41568</v>
      </c>
      <c r="B188" s="78" t="s">
        <v>67</v>
      </c>
      <c r="C188" s="78" t="s">
        <v>81</v>
      </c>
      <c r="D188" s="85">
        <v>40</v>
      </c>
    </row>
    <row r="189" spans="1:4" x14ac:dyDescent="0.3">
      <c r="A189" s="75">
        <v>41569</v>
      </c>
      <c r="B189" s="78" t="s">
        <v>63</v>
      </c>
      <c r="C189" s="78" t="s">
        <v>84</v>
      </c>
      <c r="D189" s="85">
        <v>594</v>
      </c>
    </row>
    <row r="190" spans="1:4" x14ac:dyDescent="0.3">
      <c r="A190" s="75">
        <v>41568</v>
      </c>
      <c r="B190" s="78" t="s">
        <v>63</v>
      </c>
      <c r="C190" s="78" t="s">
        <v>70</v>
      </c>
      <c r="D190" s="85">
        <v>605</v>
      </c>
    </row>
    <row r="191" spans="1:4" x14ac:dyDescent="0.3">
      <c r="A191" s="75">
        <v>41571</v>
      </c>
      <c r="B191" s="78" t="s">
        <v>63</v>
      </c>
      <c r="C191" s="78" t="s">
        <v>76</v>
      </c>
      <c r="D191" s="85">
        <v>409</v>
      </c>
    </row>
    <row r="192" spans="1:4" x14ac:dyDescent="0.3">
      <c r="A192" s="75">
        <v>41568</v>
      </c>
      <c r="B192" s="78" t="s">
        <v>67</v>
      </c>
      <c r="C192" s="78" t="s">
        <v>81</v>
      </c>
      <c r="D192" s="85">
        <v>250</v>
      </c>
    </row>
    <row r="193" spans="1:4" x14ac:dyDescent="0.3">
      <c r="A193" s="75">
        <v>41569</v>
      </c>
      <c r="B193" s="78" t="s">
        <v>69</v>
      </c>
      <c r="C193" s="78" t="s">
        <v>81</v>
      </c>
      <c r="D193" s="85">
        <v>481</v>
      </c>
    </row>
    <row r="194" spans="1:4" x14ac:dyDescent="0.3">
      <c r="A194" s="75">
        <v>41572</v>
      </c>
      <c r="B194" s="78" t="s">
        <v>63</v>
      </c>
      <c r="C194" s="78" t="s">
        <v>83</v>
      </c>
      <c r="D194" s="85">
        <v>529</v>
      </c>
    </row>
    <row r="195" spans="1:4" x14ac:dyDescent="0.3">
      <c r="A195" s="75">
        <v>41571</v>
      </c>
      <c r="B195" s="78" t="s">
        <v>69</v>
      </c>
      <c r="C195" s="78" t="s">
        <v>80</v>
      </c>
      <c r="D195" s="85">
        <v>56</v>
      </c>
    </row>
    <row r="196" spans="1:4" x14ac:dyDescent="0.3">
      <c r="A196" s="75">
        <v>41570</v>
      </c>
      <c r="B196" s="78" t="s">
        <v>63</v>
      </c>
      <c r="C196" s="78" t="s">
        <v>68</v>
      </c>
      <c r="D196" s="85">
        <v>82</v>
      </c>
    </row>
    <row r="197" spans="1:4" x14ac:dyDescent="0.3">
      <c r="A197" s="75">
        <v>41573</v>
      </c>
      <c r="B197" s="78" t="s">
        <v>63</v>
      </c>
      <c r="C197" s="78" t="s">
        <v>72</v>
      </c>
      <c r="D197" s="85">
        <v>575</v>
      </c>
    </row>
    <row r="198" spans="1:4" x14ac:dyDescent="0.3">
      <c r="A198" s="75">
        <v>41569</v>
      </c>
      <c r="B198" s="78" t="s">
        <v>63</v>
      </c>
      <c r="C198" s="78" t="s">
        <v>79</v>
      </c>
      <c r="D198" s="85">
        <v>665</v>
      </c>
    </row>
    <row r="199" spans="1:4" x14ac:dyDescent="0.3">
      <c r="A199" s="75">
        <v>41572</v>
      </c>
      <c r="B199" s="78" t="s">
        <v>63</v>
      </c>
      <c r="C199" s="78" t="s">
        <v>79</v>
      </c>
      <c r="D199" s="85">
        <v>490</v>
      </c>
    </row>
    <row r="200" spans="1:4" x14ac:dyDescent="0.3">
      <c r="A200" s="75">
        <v>41570</v>
      </c>
      <c r="B200" s="78" t="s">
        <v>69</v>
      </c>
      <c r="C200" s="78" t="s">
        <v>74</v>
      </c>
      <c r="D200" s="85">
        <v>630</v>
      </c>
    </row>
    <row r="201" spans="1:4" x14ac:dyDescent="0.3">
      <c r="A201" s="75">
        <v>41572</v>
      </c>
      <c r="B201" s="78" t="s">
        <v>69</v>
      </c>
      <c r="C201" s="78" t="s">
        <v>65</v>
      </c>
      <c r="D201" s="85">
        <v>352</v>
      </c>
    </row>
    <row r="202" spans="1:4" x14ac:dyDescent="0.3">
      <c r="A202" s="75">
        <v>41570</v>
      </c>
      <c r="B202" s="78" t="s">
        <v>69</v>
      </c>
      <c r="C202" s="78" t="s">
        <v>86</v>
      </c>
      <c r="D202" s="85">
        <v>269</v>
      </c>
    </row>
    <row r="203" spans="1:4" x14ac:dyDescent="0.3">
      <c r="A203" s="75">
        <v>41569</v>
      </c>
      <c r="B203" s="78" t="s">
        <v>69</v>
      </c>
      <c r="C203" s="78" t="s">
        <v>64</v>
      </c>
      <c r="D203" s="85">
        <v>200</v>
      </c>
    </row>
    <row r="204" spans="1:4" x14ac:dyDescent="0.3">
      <c r="A204" s="75">
        <v>41570</v>
      </c>
      <c r="B204" s="78" t="s">
        <v>63</v>
      </c>
      <c r="C204" s="78" t="s">
        <v>78</v>
      </c>
      <c r="D204" s="85">
        <v>329</v>
      </c>
    </row>
    <row r="205" spans="1:4" x14ac:dyDescent="0.3">
      <c r="A205" s="75">
        <v>41571</v>
      </c>
      <c r="B205" s="78" t="s">
        <v>63</v>
      </c>
      <c r="C205" s="78" t="s">
        <v>70</v>
      </c>
      <c r="D205" s="85">
        <v>605</v>
      </c>
    </row>
    <row r="206" spans="1:4" x14ac:dyDescent="0.3">
      <c r="A206" s="75">
        <v>41569</v>
      </c>
      <c r="B206" s="78" t="s">
        <v>63</v>
      </c>
      <c r="C206" s="78" t="s">
        <v>84</v>
      </c>
      <c r="D206" s="85">
        <v>340</v>
      </c>
    </row>
    <row r="207" spans="1:4" x14ac:dyDescent="0.3">
      <c r="A207" s="75">
        <v>41569</v>
      </c>
      <c r="B207" s="78" t="s">
        <v>63</v>
      </c>
      <c r="C207" s="78" t="s">
        <v>78</v>
      </c>
      <c r="D207" s="85">
        <v>456</v>
      </c>
    </row>
    <row r="208" spans="1:4" x14ac:dyDescent="0.3">
      <c r="A208" s="75">
        <v>41569</v>
      </c>
      <c r="B208" s="78" t="s">
        <v>63</v>
      </c>
      <c r="C208" s="78" t="s">
        <v>83</v>
      </c>
      <c r="D208" s="85">
        <v>368</v>
      </c>
    </row>
    <row r="209" spans="1:4" x14ac:dyDescent="0.3">
      <c r="A209" s="75">
        <v>41569</v>
      </c>
      <c r="B209" s="78" t="s">
        <v>67</v>
      </c>
      <c r="C209" s="78" t="s">
        <v>72</v>
      </c>
      <c r="D209" s="85">
        <v>510</v>
      </c>
    </row>
    <row r="210" spans="1:4" x14ac:dyDescent="0.3">
      <c r="A210" s="75">
        <v>41568</v>
      </c>
      <c r="B210" s="78" t="s">
        <v>67</v>
      </c>
      <c r="C210" s="78" t="s">
        <v>66</v>
      </c>
      <c r="D210" s="85">
        <v>63</v>
      </c>
    </row>
    <row r="211" spans="1:4" x14ac:dyDescent="0.3">
      <c r="A211" s="75">
        <v>41570</v>
      </c>
      <c r="B211" s="78" t="s">
        <v>67</v>
      </c>
      <c r="C211" s="78" t="s">
        <v>65</v>
      </c>
      <c r="D211" s="85">
        <v>359</v>
      </c>
    </row>
    <row r="212" spans="1:4" x14ac:dyDescent="0.3">
      <c r="A212" s="75">
        <v>41567</v>
      </c>
      <c r="B212" s="78" t="s">
        <v>63</v>
      </c>
      <c r="C212" s="78" t="s">
        <v>66</v>
      </c>
      <c r="D212" s="85">
        <v>138</v>
      </c>
    </row>
    <row r="213" spans="1:4" x14ac:dyDescent="0.3">
      <c r="A213" s="75">
        <v>41573</v>
      </c>
      <c r="B213" s="78" t="s">
        <v>67</v>
      </c>
      <c r="C213" s="78" t="s">
        <v>89</v>
      </c>
      <c r="D213" s="85">
        <v>35</v>
      </c>
    </row>
    <row r="214" spans="1:4" x14ac:dyDescent="0.3">
      <c r="A214" s="75">
        <v>41573</v>
      </c>
      <c r="B214" s="78" t="s">
        <v>69</v>
      </c>
      <c r="C214" s="78" t="s">
        <v>71</v>
      </c>
      <c r="D214" s="85">
        <v>386</v>
      </c>
    </row>
    <row r="215" spans="1:4" x14ac:dyDescent="0.3">
      <c r="A215" s="75">
        <v>41573</v>
      </c>
      <c r="B215" s="78" t="s">
        <v>69</v>
      </c>
      <c r="C215" s="78" t="s">
        <v>74</v>
      </c>
      <c r="D215" s="85">
        <v>73</v>
      </c>
    </row>
    <row r="216" spans="1:4" x14ac:dyDescent="0.3">
      <c r="A216" s="75">
        <v>41572</v>
      </c>
      <c r="B216" s="78" t="s">
        <v>67</v>
      </c>
      <c r="C216" s="78" t="s">
        <v>74</v>
      </c>
      <c r="D216" s="85">
        <v>389</v>
      </c>
    </row>
    <row r="217" spans="1:4" x14ac:dyDescent="0.3">
      <c r="A217" s="75">
        <v>41573</v>
      </c>
      <c r="B217" s="78" t="s">
        <v>63</v>
      </c>
      <c r="C217" s="78" t="s">
        <v>79</v>
      </c>
      <c r="D217" s="85">
        <v>321</v>
      </c>
    </row>
    <row r="218" spans="1:4" x14ac:dyDescent="0.3">
      <c r="A218" s="75">
        <v>41571</v>
      </c>
      <c r="B218" s="78" t="s">
        <v>67</v>
      </c>
      <c r="C218" s="78" t="s">
        <v>79</v>
      </c>
      <c r="D218" s="85">
        <v>175</v>
      </c>
    </row>
    <row r="219" spans="1:4" x14ac:dyDescent="0.3">
      <c r="A219" s="75">
        <v>41572</v>
      </c>
      <c r="B219" s="78" t="s">
        <v>69</v>
      </c>
      <c r="C219" s="78" t="s">
        <v>65</v>
      </c>
      <c r="D219" s="85">
        <v>438</v>
      </c>
    </row>
    <row r="220" spans="1:4" x14ac:dyDescent="0.3">
      <c r="A220" s="75">
        <v>41567</v>
      </c>
      <c r="B220" s="78" t="s">
        <v>69</v>
      </c>
      <c r="C220" s="78" t="s">
        <v>68</v>
      </c>
      <c r="D220" s="85">
        <v>622</v>
      </c>
    </row>
    <row r="221" spans="1:4" x14ac:dyDescent="0.3">
      <c r="A221" s="75">
        <v>41568</v>
      </c>
      <c r="B221" s="78" t="s">
        <v>69</v>
      </c>
      <c r="C221" s="78" t="s">
        <v>68</v>
      </c>
      <c r="D221" s="85">
        <v>612</v>
      </c>
    </row>
    <row r="222" spans="1:4" x14ac:dyDescent="0.3">
      <c r="A222" s="75">
        <v>41571</v>
      </c>
      <c r="B222" s="78" t="s">
        <v>69</v>
      </c>
      <c r="C222" s="78" t="s">
        <v>66</v>
      </c>
      <c r="D222" s="85">
        <v>404</v>
      </c>
    </row>
    <row r="223" spans="1:4" x14ac:dyDescent="0.3">
      <c r="A223" s="75">
        <v>41573</v>
      </c>
      <c r="B223" s="78" t="s">
        <v>69</v>
      </c>
      <c r="C223" s="78" t="s">
        <v>65</v>
      </c>
      <c r="D223" s="85">
        <v>632</v>
      </c>
    </row>
    <row r="224" spans="1:4" x14ac:dyDescent="0.3">
      <c r="A224" s="75">
        <v>41569</v>
      </c>
      <c r="B224" s="78" t="s">
        <v>67</v>
      </c>
      <c r="C224" s="78" t="s">
        <v>65</v>
      </c>
      <c r="D224" s="85">
        <v>20</v>
      </c>
    </row>
    <row r="225" spans="1:4" x14ac:dyDescent="0.3">
      <c r="A225" s="75">
        <v>41567</v>
      </c>
      <c r="B225" s="78" t="s">
        <v>63</v>
      </c>
      <c r="C225" s="78" t="s">
        <v>86</v>
      </c>
      <c r="D225" s="85">
        <v>264</v>
      </c>
    </row>
    <row r="226" spans="1:4" x14ac:dyDescent="0.3">
      <c r="A226" s="75">
        <v>41567</v>
      </c>
      <c r="B226" s="78" t="s">
        <v>67</v>
      </c>
      <c r="C226" s="78" t="s">
        <v>65</v>
      </c>
      <c r="D226" s="85">
        <v>656</v>
      </c>
    </row>
    <row r="227" spans="1:4" x14ac:dyDescent="0.3">
      <c r="A227" s="75">
        <v>41568</v>
      </c>
      <c r="B227" s="78" t="s">
        <v>67</v>
      </c>
      <c r="C227" s="78" t="s">
        <v>64</v>
      </c>
      <c r="D227" s="85">
        <v>391</v>
      </c>
    </row>
    <row r="228" spans="1:4" x14ac:dyDescent="0.3">
      <c r="A228" s="75">
        <v>41567</v>
      </c>
      <c r="B228" s="78" t="s">
        <v>69</v>
      </c>
      <c r="C228" s="78" t="s">
        <v>66</v>
      </c>
      <c r="D228" s="85">
        <v>686</v>
      </c>
    </row>
    <row r="229" spans="1:4" x14ac:dyDescent="0.3">
      <c r="A229" s="75">
        <v>41573</v>
      </c>
      <c r="B229" s="78" t="s">
        <v>67</v>
      </c>
      <c r="C229" s="78" t="s">
        <v>88</v>
      </c>
      <c r="D229" s="85">
        <v>466</v>
      </c>
    </row>
    <row r="230" spans="1:4" x14ac:dyDescent="0.3">
      <c r="A230" s="75">
        <v>41569</v>
      </c>
      <c r="B230" s="78" t="s">
        <v>63</v>
      </c>
      <c r="C230" s="78" t="s">
        <v>79</v>
      </c>
      <c r="D230" s="85">
        <v>661</v>
      </c>
    </row>
    <row r="231" spans="1:4" x14ac:dyDescent="0.3">
      <c r="A231" s="75">
        <v>41568</v>
      </c>
      <c r="B231" s="78" t="s">
        <v>69</v>
      </c>
      <c r="C231" s="78" t="s">
        <v>72</v>
      </c>
      <c r="D231" s="85">
        <v>654</v>
      </c>
    </row>
    <row r="232" spans="1:4" x14ac:dyDescent="0.3">
      <c r="A232" s="75">
        <v>41569</v>
      </c>
      <c r="B232" s="78" t="s">
        <v>63</v>
      </c>
      <c r="C232" s="78" t="s">
        <v>78</v>
      </c>
      <c r="D232" s="85">
        <v>661</v>
      </c>
    </row>
    <row r="233" spans="1:4" x14ac:dyDescent="0.3">
      <c r="A233" s="75">
        <v>41572</v>
      </c>
      <c r="B233" s="78" t="s">
        <v>63</v>
      </c>
      <c r="C233" s="78" t="s">
        <v>80</v>
      </c>
      <c r="D233" s="85">
        <v>202</v>
      </c>
    </row>
    <row r="234" spans="1:4" x14ac:dyDescent="0.3">
      <c r="A234" s="75">
        <v>41570</v>
      </c>
      <c r="B234" s="78" t="s">
        <v>63</v>
      </c>
      <c r="C234" s="78" t="s">
        <v>72</v>
      </c>
      <c r="D234" s="85">
        <v>335</v>
      </c>
    </row>
    <row r="235" spans="1:4" x14ac:dyDescent="0.3">
      <c r="A235" s="75">
        <v>41571</v>
      </c>
      <c r="B235" s="78" t="s">
        <v>69</v>
      </c>
      <c r="C235" s="78" t="s">
        <v>78</v>
      </c>
      <c r="D235" s="85">
        <v>181</v>
      </c>
    </row>
    <row r="236" spans="1:4" x14ac:dyDescent="0.3">
      <c r="A236" s="75">
        <v>41570</v>
      </c>
      <c r="B236" s="78" t="s">
        <v>63</v>
      </c>
      <c r="C236" s="78" t="s">
        <v>68</v>
      </c>
      <c r="D236" s="85">
        <v>370</v>
      </c>
    </row>
    <row r="237" spans="1:4" x14ac:dyDescent="0.3">
      <c r="A237" s="75">
        <v>41570</v>
      </c>
      <c r="B237" s="78" t="s">
        <v>63</v>
      </c>
      <c r="C237" s="78" t="s">
        <v>70</v>
      </c>
      <c r="D237" s="85">
        <v>608</v>
      </c>
    </row>
    <row r="238" spans="1:4" x14ac:dyDescent="0.3">
      <c r="A238" s="75">
        <v>41573</v>
      </c>
      <c r="B238" s="78" t="s">
        <v>63</v>
      </c>
      <c r="C238" s="78" t="s">
        <v>72</v>
      </c>
      <c r="D238" s="85">
        <v>74</v>
      </c>
    </row>
    <row r="239" spans="1:4" x14ac:dyDescent="0.3">
      <c r="A239" s="75">
        <v>41568</v>
      </c>
      <c r="B239" s="78" t="s">
        <v>69</v>
      </c>
      <c r="C239" s="78" t="s">
        <v>73</v>
      </c>
      <c r="D239" s="85">
        <v>349</v>
      </c>
    </row>
    <row r="240" spans="1:4" x14ac:dyDescent="0.3">
      <c r="A240" s="75">
        <v>41570</v>
      </c>
      <c r="B240" s="78" t="s">
        <v>67</v>
      </c>
      <c r="C240" s="78" t="s">
        <v>66</v>
      </c>
      <c r="D240" s="85">
        <v>77</v>
      </c>
    </row>
    <row r="241" spans="1:4" x14ac:dyDescent="0.3">
      <c r="A241" s="75">
        <v>41567</v>
      </c>
      <c r="B241" s="78" t="s">
        <v>69</v>
      </c>
      <c r="C241" s="78" t="s">
        <v>71</v>
      </c>
      <c r="D241" s="85">
        <v>77</v>
      </c>
    </row>
    <row r="242" spans="1:4" x14ac:dyDescent="0.3">
      <c r="A242" s="75">
        <v>41573</v>
      </c>
      <c r="B242" s="78" t="s">
        <v>69</v>
      </c>
      <c r="C242" s="78" t="s">
        <v>70</v>
      </c>
      <c r="D242" s="85">
        <v>639</v>
      </c>
    </row>
    <row r="243" spans="1:4" x14ac:dyDescent="0.3">
      <c r="A243" s="75">
        <v>41573</v>
      </c>
      <c r="B243" s="78" t="s">
        <v>69</v>
      </c>
      <c r="C243" s="78" t="s">
        <v>78</v>
      </c>
      <c r="D243" s="85">
        <v>97</v>
      </c>
    </row>
    <row r="244" spans="1:4" x14ac:dyDescent="0.3">
      <c r="A244" s="75">
        <v>41571</v>
      </c>
      <c r="B244" s="78" t="s">
        <v>67</v>
      </c>
      <c r="C244" s="78" t="s">
        <v>78</v>
      </c>
      <c r="D244" s="85">
        <v>56</v>
      </c>
    </row>
    <row r="245" spans="1:4" x14ac:dyDescent="0.3">
      <c r="A245" s="75">
        <v>41569</v>
      </c>
      <c r="B245" s="78" t="s">
        <v>69</v>
      </c>
      <c r="C245" s="78" t="s">
        <v>74</v>
      </c>
      <c r="D245" s="85">
        <v>22</v>
      </c>
    </row>
    <row r="246" spans="1:4" x14ac:dyDescent="0.3">
      <c r="A246" s="75">
        <v>41569</v>
      </c>
      <c r="B246" s="78" t="s">
        <v>63</v>
      </c>
      <c r="C246" s="78" t="s">
        <v>89</v>
      </c>
      <c r="D246" s="85">
        <v>306</v>
      </c>
    </row>
    <row r="247" spans="1:4" x14ac:dyDescent="0.3">
      <c r="A247" s="75">
        <v>41572</v>
      </c>
      <c r="B247" s="78" t="s">
        <v>67</v>
      </c>
      <c r="C247" s="78" t="s">
        <v>65</v>
      </c>
      <c r="D247" s="85">
        <v>329</v>
      </c>
    </row>
    <row r="248" spans="1:4" x14ac:dyDescent="0.3">
      <c r="A248" s="75">
        <v>41567</v>
      </c>
      <c r="B248" s="78" t="s">
        <v>63</v>
      </c>
      <c r="C248" s="78" t="s">
        <v>65</v>
      </c>
      <c r="D248" s="85">
        <v>95</v>
      </c>
    </row>
    <row r="249" spans="1:4" x14ac:dyDescent="0.3">
      <c r="A249" s="75">
        <v>41572</v>
      </c>
      <c r="B249" s="78" t="s">
        <v>69</v>
      </c>
      <c r="C249" s="78" t="s">
        <v>79</v>
      </c>
      <c r="D249" s="85">
        <v>270</v>
      </c>
    </row>
    <row r="250" spans="1:4" x14ac:dyDescent="0.3">
      <c r="A250" s="75">
        <v>41573</v>
      </c>
      <c r="B250" s="78" t="s">
        <v>69</v>
      </c>
      <c r="C250" s="78" t="s">
        <v>77</v>
      </c>
      <c r="D250" s="85">
        <v>648</v>
      </c>
    </row>
    <row r="251" spans="1:4" x14ac:dyDescent="0.3">
      <c r="A251" s="75">
        <v>41571</v>
      </c>
      <c r="B251" s="78" t="s">
        <v>67</v>
      </c>
      <c r="C251" s="78" t="s">
        <v>72</v>
      </c>
      <c r="D251" s="85">
        <v>169</v>
      </c>
    </row>
    <row r="252" spans="1:4" x14ac:dyDescent="0.3">
      <c r="A252" s="75">
        <v>41568</v>
      </c>
      <c r="B252" s="78" t="s">
        <v>63</v>
      </c>
      <c r="C252" s="78" t="s">
        <v>70</v>
      </c>
      <c r="D252" s="85">
        <v>488</v>
      </c>
    </row>
    <row r="253" spans="1:4" x14ac:dyDescent="0.3">
      <c r="A253" s="75">
        <v>41569</v>
      </c>
      <c r="B253" s="78" t="s">
        <v>67</v>
      </c>
      <c r="C253" s="78" t="s">
        <v>66</v>
      </c>
      <c r="D253" s="85">
        <v>353</v>
      </c>
    </row>
    <row r="254" spans="1:4" x14ac:dyDescent="0.3">
      <c r="A254" s="75">
        <v>41569</v>
      </c>
      <c r="B254" s="78" t="s">
        <v>63</v>
      </c>
      <c r="C254" s="78" t="s">
        <v>65</v>
      </c>
      <c r="D254" s="85">
        <v>613</v>
      </c>
    </row>
    <row r="255" spans="1:4" x14ac:dyDescent="0.3">
      <c r="A255" s="75">
        <v>41570</v>
      </c>
      <c r="B255" s="78" t="s">
        <v>63</v>
      </c>
      <c r="C255" s="78" t="s">
        <v>71</v>
      </c>
      <c r="D255" s="85">
        <v>664</v>
      </c>
    </row>
    <row r="256" spans="1:4" x14ac:dyDescent="0.3">
      <c r="A256" s="75">
        <v>41570</v>
      </c>
      <c r="B256" s="78" t="s">
        <v>63</v>
      </c>
      <c r="C256" s="78" t="s">
        <v>90</v>
      </c>
      <c r="D256" s="85">
        <v>343</v>
      </c>
    </row>
    <row r="257" spans="1:4" x14ac:dyDescent="0.3">
      <c r="A257" s="75">
        <v>41571</v>
      </c>
      <c r="B257" s="78" t="s">
        <v>69</v>
      </c>
      <c r="C257" s="78" t="s">
        <v>89</v>
      </c>
      <c r="D257" s="85">
        <v>318</v>
      </c>
    </row>
    <row r="258" spans="1:4" x14ac:dyDescent="0.3">
      <c r="A258" s="75">
        <v>41573</v>
      </c>
      <c r="B258" s="78" t="s">
        <v>67</v>
      </c>
      <c r="C258" s="78" t="s">
        <v>81</v>
      </c>
      <c r="D258" s="85">
        <v>294</v>
      </c>
    </row>
    <row r="259" spans="1:4" x14ac:dyDescent="0.3">
      <c r="A259" s="75">
        <v>41570</v>
      </c>
      <c r="B259" s="78" t="s">
        <v>67</v>
      </c>
      <c r="C259" s="78" t="s">
        <v>74</v>
      </c>
      <c r="D259" s="85">
        <v>295</v>
      </c>
    </row>
    <row r="260" spans="1:4" x14ac:dyDescent="0.3">
      <c r="A260" s="75">
        <v>41573</v>
      </c>
      <c r="B260" s="78" t="s">
        <v>67</v>
      </c>
      <c r="C260" s="78" t="s">
        <v>79</v>
      </c>
      <c r="D260" s="85">
        <v>197</v>
      </c>
    </row>
    <row r="261" spans="1:4" x14ac:dyDescent="0.3">
      <c r="A261" s="75">
        <v>41568</v>
      </c>
      <c r="B261" s="78" t="s">
        <v>67</v>
      </c>
      <c r="C261" s="78" t="s">
        <v>71</v>
      </c>
      <c r="D261" s="85">
        <v>682</v>
      </c>
    </row>
    <row r="262" spans="1:4" x14ac:dyDescent="0.3">
      <c r="A262" s="75">
        <v>41570</v>
      </c>
      <c r="B262" s="78" t="s">
        <v>63</v>
      </c>
      <c r="C262" s="78" t="s">
        <v>84</v>
      </c>
      <c r="D262" s="85">
        <v>147</v>
      </c>
    </row>
    <row r="263" spans="1:4" x14ac:dyDescent="0.3">
      <c r="A263" s="75">
        <v>41571</v>
      </c>
      <c r="B263" s="78" t="s">
        <v>63</v>
      </c>
      <c r="C263" s="78" t="s">
        <v>81</v>
      </c>
      <c r="D263" s="85">
        <v>662</v>
      </c>
    </row>
    <row r="264" spans="1:4" x14ac:dyDescent="0.3">
      <c r="A264" s="75">
        <v>41572</v>
      </c>
      <c r="B264" s="78" t="s">
        <v>67</v>
      </c>
      <c r="C264" s="78" t="s">
        <v>79</v>
      </c>
      <c r="D264" s="85">
        <v>482</v>
      </c>
    </row>
    <row r="265" spans="1:4" x14ac:dyDescent="0.3">
      <c r="A265" s="75">
        <v>41571</v>
      </c>
      <c r="B265" s="78" t="s">
        <v>69</v>
      </c>
      <c r="C265" s="78" t="s">
        <v>70</v>
      </c>
      <c r="D265" s="85">
        <v>503</v>
      </c>
    </row>
    <row r="266" spans="1:4" x14ac:dyDescent="0.3">
      <c r="A266" s="75">
        <v>41571</v>
      </c>
      <c r="B266" s="78" t="s">
        <v>63</v>
      </c>
      <c r="C266" s="78" t="s">
        <v>65</v>
      </c>
      <c r="D266" s="85">
        <v>190</v>
      </c>
    </row>
    <row r="267" spans="1:4" x14ac:dyDescent="0.3">
      <c r="A267" s="75">
        <v>41572</v>
      </c>
      <c r="B267" s="78" t="s">
        <v>69</v>
      </c>
      <c r="C267" s="78" t="s">
        <v>86</v>
      </c>
      <c r="D267" s="85">
        <v>477</v>
      </c>
    </row>
    <row r="268" spans="1:4" x14ac:dyDescent="0.3">
      <c r="A268" s="75">
        <v>41568</v>
      </c>
      <c r="B268" s="78" t="s">
        <v>69</v>
      </c>
      <c r="C268" s="78" t="s">
        <v>65</v>
      </c>
      <c r="D268" s="85">
        <v>630</v>
      </c>
    </row>
    <row r="269" spans="1:4" x14ac:dyDescent="0.3">
      <c r="A269" s="75">
        <v>41568</v>
      </c>
      <c r="B269" s="78" t="s">
        <v>63</v>
      </c>
      <c r="C269" s="78" t="s">
        <v>72</v>
      </c>
      <c r="D269" s="85">
        <v>576</v>
      </c>
    </row>
    <row r="270" spans="1:4" x14ac:dyDescent="0.3">
      <c r="A270" s="75">
        <v>41572</v>
      </c>
      <c r="B270" s="78" t="s">
        <v>63</v>
      </c>
      <c r="C270" s="78" t="s">
        <v>78</v>
      </c>
      <c r="D270" s="85">
        <v>43</v>
      </c>
    </row>
    <row r="271" spans="1:4" x14ac:dyDescent="0.3">
      <c r="A271" s="75">
        <v>41569</v>
      </c>
      <c r="B271" s="78" t="s">
        <v>69</v>
      </c>
      <c r="C271" s="78" t="s">
        <v>70</v>
      </c>
      <c r="D271" s="85">
        <v>460</v>
      </c>
    </row>
    <row r="272" spans="1:4" x14ac:dyDescent="0.3">
      <c r="A272" s="75">
        <v>41567</v>
      </c>
      <c r="B272" s="78" t="s">
        <v>63</v>
      </c>
      <c r="C272" s="78" t="s">
        <v>84</v>
      </c>
      <c r="D272" s="85">
        <v>347</v>
      </c>
    </row>
    <row r="273" spans="1:4" x14ac:dyDescent="0.3">
      <c r="A273" s="75">
        <v>41570</v>
      </c>
      <c r="B273" s="78" t="s">
        <v>67</v>
      </c>
      <c r="C273" s="78" t="s">
        <v>79</v>
      </c>
      <c r="D273" s="85">
        <v>245</v>
      </c>
    </row>
    <row r="274" spans="1:4" x14ac:dyDescent="0.3">
      <c r="A274" s="75">
        <v>41573</v>
      </c>
      <c r="B274" s="78" t="s">
        <v>63</v>
      </c>
      <c r="C274" s="78" t="s">
        <v>78</v>
      </c>
      <c r="D274" s="85">
        <v>303</v>
      </c>
    </row>
    <row r="275" spans="1:4" x14ac:dyDescent="0.3">
      <c r="A275" s="75">
        <v>41569</v>
      </c>
      <c r="B275" s="78" t="s">
        <v>69</v>
      </c>
      <c r="C275" s="78" t="s">
        <v>72</v>
      </c>
      <c r="D275" s="85">
        <v>60</v>
      </c>
    </row>
    <row r="276" spans="1:4" x14ac:dyDescent="0.3">
      <c r="A276" s="75">
        <v>41570</v>
      </c>
      <c r="B276" s="78" t="s">
        <v>67</v>
      </c>
      <c r="C276" s="78" t="s">
        <v>74</v>
      </c>
      <c r="D276" s="85">
        <v>191</v>
      </c>
    </row>
    <row r="277" spans="1:4" x14ac:dyDescent="0.3">
      <c r="A277" s="75">
        <v>41571</v>
      </c>
      <c r="B277" s="78" t="s">
        <v>69</v>
      </c>
      <c r="C277" s="78" t="s">
        <v>66</v>
      </c>
      <c r="D277" s="85">
        <v>550</v>
      </c>
    </row>
    <row r="278" spans="1:4" x14ac:dyDescent="0.3">
      <c r="A278" s="75">
        <v>41567</v>
      </c>
      <c r="B278" s="78" t="s">
        <v>67</v>
      </c>
      <c r="C278" s="78" t="s">
        <v>77</v>
      </c>
      <c r="D278" s="85">
        <v>222</v>
      </c>
    </row>
    <row r="279" spans="1:4" x14ac:dyDescent="0.3">
      <c r="A279" s="75">
        <v>41571</v>
      </c>
      <c r="B279" s="78" t="s">
        <v>69</v>
      </c>
      <c r="C279" s="78" t="s">
        <v>70</v>
      </c>
      <c r="D279" s="85">
        <v>213</v>
      </c>
    </row>
    <row r="280" spans="1:4" x14ac:dyDescent="0.3">
      <c r="A280" s="75">
        <v>41573</v>
      </c>
      <c r="B280" s="78" t="s">
        <v>69</v>
      </c>
      <c r="C280" s="78" t="s">
        <v>86</v>
      </c>
      <c r="D280" s="85">
        <v>28</v>
      </c>
    </row>
    <row r="281" spans="1:4" x14ac:dyDescent="0.3">
      <c r="A281" s="75">
        <v>41569</v>
      </c>
      <c r="B281" s="78" t="s">
        <v>63</v>
      </c>
      <c r="C281" s="78" t="s">
        <v>71</v>
      </c>
      <c r="D281" s="85">
        <v>552</v>
      </c>
    </row>
    <row r="282" spans="1:4" x14ac:dyDescent="0.3">
      <c r="A282" s="75">
        <v>41570</v>
      </c>
      <c r="B282" s="78" t="s">
        <v>63</v>
      </c>
      <c r="C282" s="78" t="s">
        <v>70</v>
      </c>
      <c r="D282" s="85">
        <v>608</v>
      </c>
    </row>
    <row r="283" spans="1:4" x14ac:dyDescent="0.3">
      <c r="A283" s="75">
        <v>41572</v>
      </c>
      <c r="B283" s="78" t="s">
        <v>63</v>
      </c>
      <c r="C283" s="78" t="s">
        <v>71</v>
      </c>
      <c r="D283" s="85">
        <v>308</v>
      </c>
    </row>
    <row r="284" spans="1:4" x14ac:dyDescent="0.3">
      <c r="A284" s="75">
        <v>41569</v>
      </c>
      <c r="B284" s="78" t="s">
        <v>69</v>
      </c>
      <c r="C284" s="78" t="s">
        <v>90</v>
      </c>
      <c r="D284" s="85">
        <v>56</v>
      </c>
    </row>
    <row r="285" spans="1:4" x14ac:dyDescent="0.3">
      <c r="A285" s="75">
        <v>41573</v>
      </c>
      <c r="B285" s="78" t="s">
        <v>69</v>
      </c>
      <c r="C285" s="78" t="s">
        <v>90</v>
      </c>
      <c r="D285" s="85">
        <v>303</v>
      </c>
    </row>
    <row r="286" spans="1:4" x14ac:dyDescent="0.3">
      <c r="A286" s="75">
        <v>41569</v>
      </c>
      <c r="B286" s="78" t="s">
        <v>63</v>
      </c>
      <c r="C286" s="78" t="s">
        <v>84</v>
      </c>
      <c r="D286" s="85">
        <v>561</v>
      </c>
    </row>
    <row r="287" spans="1:4" x14ac:dyDescent="0.3">
      <c r="A287" s="75">
        <v>41567</v>
      </c>
      <c r="B287" s="78" t="s">
        <v>69</v>
      </c>
      <c r="C287" s="78" t="s">
        <v>77</v>
      </c>
      <c r="D287" s="85">
        <v>264</v>
      </c>
    </row>
    <row r="288" spans="1:4" x14ac:dyDescent="0.3">
      <c r="A288" s="75">
        <v>41567</v>
      </c>
      <c r="B288" s="78" t="s">
        <v>69</v>
      </c>
      <c r="C288" s="78" t="s">
        <v>78</v>
      </c>
      <c r="D288" s="85">
        <v>249</v>
      </c>
    </row>
    <row r="289" spans="1:4" x14ac:dyDescent="0.3">
      <c r="A289" s="75">
        <v>41572</v>
      </c>
      <c r="B289" s="78" t="s">
        <v>67</v>
      </c>
      <c r="C289" s="78" t="s">
        <v>66</v>
      </c>
      <c r="D289" s="85">
        <v>259</v>
      </c>
    </row>
    <row r="290" spans="1:4" x14ac:dyDescent="0.3">
      <c r="A290" s="75">
        <v>41573</v>
      </c>
      <c r="B290" s="78" t="s">
        <v>67</v>
      </c>
      <c r="C290" s="78" t="s">
        <v>79</v>
      </c>
      <c r="D290" s="85">
        <v>609</v>
      </c>
    </row>
    <row r="291" spans="1:4" x14ac:dyDescent="0.3">
      <c r="A291" s="75">
        <v>41568</v>
      </c>
      <c r="B291" s="78" t="s">
        <v>67</v>
      </c>
      <c r="C291" s="78" t="s">
        <v>78</v>
      </c>
      <c r="D291" s="85">
        <v>213</v>
      </c>
    </row>
    <row r="292" spans="1:4" x14ac:dyDescent="0.3">
      <c r="A292" s="75">
        <v>41568</v>
      </c>
      <c r="B292" s="78" t="s">
        <v>63</v>
      </c>
      <c r="C292" s="78" t="s">
        <v>78</v>
      </c>
      <c r="D292" s="85">
        <v>301</v>
      </c>
    </row>
    <row r="293" spans="1:4" x14ac:dyDescent="0.3">
      <c r="A293" s="75">
        <v>41573</v>
      </c>
      <c r="B293" s="78" t="s">
        <v>69</v>
      </c>
      <c r="C293" s="78" t="s">
        <v>86</v>
      </c>
      <c r="D293" s="85">
        <v>359</v>
      </c>
    </row>
    <row r="294" spans="1:4" x14ac:dyDescent="0.3">
      <c r="A294" s="75">
        <v>41573</v>
      </c>
      <c r="B294" s="78" t="s">
        <v>63</v>
      </c>
      <c r="C294" s="78" t="s">
        <v>74</v>
      </c>
      <c r="D294" s="85">
        <v>18</v>
      </c>
    </row>
    <row r="295" spans="1:4" x14ac:dyDescent="0.3">
      <c r="A295" s="75">
        <v>41567</v>
      </c>
      <c r="B295" s="78" t="s">
        <v>69</v>
      </c>
      <c r="C295" s="78" t="s">
        <v>66</v>
      </c>
      <c r="D295" s="85">
        <v>98</v>
      </c>
    </row>
    <row r="296" spans="1:4" x14ac:dyDescent="0.3">
      <c r="A296" s="75">
        <v>41569</v>
      </c>
      <c r="B296" s="78" t="s">
        <v>67</v>
      </c>
      <c r="C296" s="78" t="s">
        <v>78</v>
      </c>
      <c r="D296" s="85">
        <v>274</v>
      </c>
    </row>
    <row r="297" spans="1:4" x14ac:dyDescent="0.3">
      <c r="A297" s="75">
        <v>41571</v>
      </c>
      <c r="B297" s="78" t="s">
        <v>69</v>
      </c>
      <c r="C297" s="78" t="s">
        <v>75</v>
      </c>
      <c r="D297" s="85">
        <v>466</v>
      </c>
    </row>
    <row r="298" spans="1:4" x14ac:dyDescent="0.3">
      <c r="A298" s="75">
        <v>41567</v>
      </c>
      <c r="B298" s="78" t="s">
        <v>67</v>
      </c>
      <c r="C298" s="78" t="s">
        <v>72</v>
      </c>
      <c r="D298" s="85">
        <v>65</v>
      </c>
    </row>
    <row r="299" spans="1:4" x14ac:dyDescent="0.3">
      <c r="A299" s="75">
        <v>41568</v>
      </c>
      <c r="B299" s="78" t="s">
        <v>67</v>
      </c>
      <c r="C299" s="78" t="s">
        <v>79</v>
      </c>
      <c r="D299" s="85">
        <v>638</v>
      </c>
    </row>
    <row r="300" spans="1:4" x14ac:dyDescent="0.3">
      <c r="A300" s="75">
        <v>41570</v>
      </c>
      <c r="B300" s="78" t="s">
        <v>63</v>
      </c>
      <c r="C300" s="78" t="s">
        <v>72</v>
      </c>
      <c r="D300" s="85">
        <v>73</v>
      </c>
    </row>
    <row r="301" spans="1:4" x14ac:dyDescent="0.3">
      <c r="A301" s="75">
        <v>41567</v>
      </c>
      <c r="B301" s="78" t="s">
        <v>63</v>
      </c>
      <c r="C301" s="78" t="s">
        <v>70</v>
      </c>
      <c r="D301" s="85">
        <v>89</v>
      </c>
    </row>
    <row r="302" spans="1:4" x14ac:dyDescent="0.3">
      <c r="A302" s="75">
        <v>41569</v>
      </c>
      <c r="B302" s="78" t="s">
        <v>63</v>
      </c>
      <c r="C302" s="78" t="s">
        <v>72</v>
      </c>
      <c r="D302" s="85">
        <v>154</v>
      </c>
    </row>
    <row r="303" spans="1:4" x14ac:dyDescent="0.3">
      <c r="A303" s="75">
        <v>41567</v>
      </c>
      <c r="B303" s="78" t="s">
        <v>63</v>
      </c>
      <c r="C303" s="78" t="s">
        <v>86</v>
      </c>
      <c r="D303" s="85">
        <v>209</v>
      </c>
    </row>
    <row r="304" spans="1:4" x14ac:dyDescent="0.3">
      <c r="A304" s="75">
        <v>41570</v>
      </c>
      <c r="B304" s="78" t="s">
        <v>63</v>
      </c>
      <c r="C304" s="78" t="s">
        <v>72</v>
      </c>
      <c r="D304" s="85">
        <v>296</v>
      </c>
    </row>
    <row r="305" spans="1:4" x14ac:dyDescent="0.3">
      <c r="A305" s="75">
        <v>41572</v>
      </c>
      <c r="B305" s="78" t="s">
        <v>67</v>
      </c>
      <c r="C305" s="78" t="s">
        <v>64</v>
      </c>
      <c r="D305" s="85">
        <v>564</v>
      </c>
    </row>
    <row r="306" spans="1:4" x14ac:dyDescent="0.3">
      <c r="A306" s="75">
        <v>41572</v>
      </c>
      <c r="B306" s="78" t="s">
        <v>69</v>
      </c>
      <c r="C306" s="78" t="s">
        <v>66</v>
      </c>
      <c r="D306" s="85">
        <v>338</v>
      </c>
    </row>
    <row r="307" spans="1:4" x14ac:dyDescent="0.3">
      <c r="A307" s="75">
        <v>41572</v>
      </c>
      <c r="B307" s="78" t="s">
        <v>67</v>
      </c>
      <c r="C307" s="78" t="s">
        <v>68</v>
      </c>
      <c r="D307" s="85">
        <v>428</v>
      </c>
    </row>
    <row r="308" spans="1:4" x14ac:dyDescent="0.3">
      <c r="A308" s="75">
        <v>41573</v>
      </c>
      <c r="B308" s="78" t="s">
        <v>67</v>
      </c>
      <c r="C308" s="78" t="s">
        <v>71</v>
      </c>
      <c r="D308" s="85">
        <v>24</v>
      </c>
    </row>
    <row r="309" spans="1:4" x14ac:dyDescent="0.3">
      <c r="A309" s="75">
        <v>41569</v>
      </c>
      <c r="B309" s="78" t="s">
        <v>69</v>
      </c>
      <c r="C309" s="78" t="s">
        <v>65</v>
      </c>
      <c r="D309" s="85">
        <v>353</v>
      </c>
    </row>
    <row r="310" spans="1:4" x14ac:dyDescent="0.3">
      <c r="A310" s="75">
        <v>41573</v>
      </c>
      <c r="B310" s="78" t="s">
        <v>63</v>
      </c>
      <c r="C310" s="78" t="s">
        <v>78</v>
      </c>
      <c r="D310" s="85">
        <v>645</v>
      </c>
    </row>
    <row r="311" spans="1:4" x14ac:dyDescent="0.3">
      <c r="A311" s="75">
        <v>41573</v>
      </c>
      <c r="B311" s="78" t="s">
        <v>69</v>
      </c>
      <c r="C311" s="78" t="s">
        <v>68</v>
      </c>
      <c r="D311" s="85">
        <v>466</v>
      </c>
    </row>
    <row r="312" spans="1:4" x14ac:dyDescent="0.3">
      <c r="A312" s="75">
        <v>41569</v>
      </c>
      <c r="B312" s="78" t="s">
        <v>63</v>
      </c>
      <c r="C312" s="78" t="s">
        <v>65</v>
      </c>
      <c r="D312" s="85">
        <v>37</v>
      </c>
    </row>
    <row r="313" spans="1:4" x14ac:dyDescent="0.3">
      <c r="A313" s="75">
        <v>41572</v>
      </c>
      <c r="B313" s="78" t="s">
        <v>67</v>
      </c>
      <c r="C313" s="78" t="s">
        <v>72</v>
      </c>
      <c r="D313" s="85">
        <v>367</v>
      </c>
    </row>
    <row r="314" spans="1:4" x14ac:dyDescent="0.3">
      <c r="A314" s="75">
        <v>41569</v>
      </c>
      <c r="B314" s="78" t="s">
        <v>69</v>
      </c>
      <c r="C314" s="78" t="s">
        <v>71</v>
      </c>
      <c r="D314" s="85">
        <v>295</v>
      </c>
    </row>
    <row r="315" spans="1:4" x14ac:dyDescent="0.3">
      <c r="A315" s="75">
        <v>41570</v>
      </c>
      <c r="B315" s="78" t="s">
        <v>69</v>
      </c>
      <c r="C315" s="78" t="s">
        <v>78</v>
      </c>
      <c r="D315" s="85">
        <v>178</v>
      </c>
    </row>
    <row r="316" spans="1:4" x14ac:dyDescent="0.3">
      <c r="A316" s="75">
        <v>41568</v>
      </c>
      <c r="B316" s="78" t="s">
        <v>63</v>
      </c>
      <c r="C316" s="78" t="s">
        <v>70</v>
      </c>
      <c r="D316" s="85">
        <v>56</v>
      </c>
    </row>
    <row r="317" spans="1:4" x14ac:dyDescent="0.3">
      <c r="A317" s="75">
        <v>41573</v>
      </c>
      <c r="B317" s="78" t="s">
        <v>63</v>
      </c>
      <c r="C317" s="78" t="s">
        <v>71</v>
      </c>
      <c r="D317" s="85">
        <v>227</v>
      </c>
    </row>
    <row r="318" spans="1:4" x14ac:dyDescent="0.3">
      <c r="A318" s="75">
        <v>41571</v>
      </c>
      <c r="B318" s="78" t="s">
        <v>69</v>
      </c>
      <c r="C318" s="78" t="s">
        <v>78</v>
      </c>
      <c r="D318" s="85">
        <v>215</v>
      </c>
    </row>
    <row r="319" spans="1:4" x14ac:dyDescent="0.3">
      <c r="A319" s="75">
        <v>41571</v>
      </c>
      <c r="B319" s="78" t="s">
        <v>63</v>
      </c>
      <c r="C319" s="78" t="s">
        <v>71</v>
      </c>
      <c r="D319" s="85">
        <v>506</v>
      </c>
    </row>
    <row r="320" spans="1:4" x14ac:dyDescent="0.3">
      <c r="A320" s="75">
        <v>41573</v>
      </c>
      <c r="B320" s="78" t="s">
        <v>67</v>
      </c>
      <c r="C320" s="78" t="s">
        <v>74</v>
      </c>
      <c r="D320" s="85">
        <v>215</v>
      </c>
    </row>
    <row r="321" spans="1:4" x14ac:dyDescent="0.3">
      <c r="A321" s="75">
        <v>41567</v>
      </c>
      <c r="B321" s="78" t="s">
        <v>69</v>
      </c>
      <c r="C321" s="78" t="s">
        <v>74</v>
      </c>
      <c r="D321" s="85">
        <v>237</v>
      </c>
    </row>
    <row r="322" spans="1:4" x14ac:dyDescent="0.3">
      <c r="A322" s="75">
        <v>41569</v>
      </c>
      <c r="B322" s="78" t="s">
        <v>63</v>
      </c>
      <c r="C322" s="78" t="s">
        <v>74</v>
      </c>
      <c r="D322" s="85">
        <v>296</v>
      </c>
    </row>
    <row r="323" spans="1:4" x14ac:dyDescent="0.3">
      <c r="A323" s="75">
        <v>41572</v>
      </c>
      <c r="B323" s="78" t="s">
        <v>63</v>
      </c>
      <c r="C323" s="78" t="s">
        <v>74</v>
      </c>
      <c r="D323" s="85">
        <v>302</v>
      </c>
    </row>
    <row r="324" spans="1:4" x14ac:dyDescent="0.3">
      <c r="A324" s="75">
        <v>41570</v>
      </c>
      <c r="B324" s="78" t="s">
        <v>69</v>
      </c>
      <c r="C324" s="78" t="s">
        <v>90</v>
      </c>
      <c r="D324" s="85">
        <v>622</v>
      </c>
    </row>
    <row r="325" spans="1:4" x14ac:dyDescent="0.3">
      <c r="A325" s="75">
        <v>41568</v>
      </c>
      <c r="B325" s="78" t="s">
        <v>63</v>
      </c>
      <c r="C325" s="78" t="s">
        <v>74</v>
      </c>
      <c r="D325" s="85">
        <v>312</v>
      </c>
    </row>
    <row r="326" spans="1:4" x14ac:dyDescent="0.3">
      <c r="A326" s="75">
        <v>41571</v>
      </c>
      <c r="B326" s="78" t="s">
        <v>63</v>
      </c>
      <c r="C326" s="78" t="s">
        <v>68</v>
      </c>
      <c r="D326" s="85">
        <v>304</v>
      </c>
    </row>
    <row r="327" spans="1:4" x14ac:dyDescent="0.3">
      <c r="A327" s="75">
        <v>41570</v>
      </c>
      <c r="B327" s="78" t="s">
        <v>69</v>
      </c>
      <c r="C327" s="78" t="s">
        <v>84</v>
      </c>
      <c r="D327" s="85">
        <v>158</v>
      </c>
    </row>
    <row r="328" spans="1:4" x14ac:dyDescent="0.3">
      <c r="A328" s="75">
        <v>41572</v>
      </c>
      <c r="B328" s="78" t="s">
        <v>63</v>
      </c>
      <c r="C328" s="78" t="s">
        <v>89</v>
      </c>
      <c r="D328" s="85">
        <v>569</v>
      </c>
    </row>
    <row r="329" spans="1:4" x14ac:dyDescent="0.3">
      <c r="A329" s="75">
        <v>41570</v>
      </c>
      <c r="B329" s="78" t="s">
        <v>67</v>
      </c>
      <c r="C329" s="78" t="s">
        <v>70</v>
      </c>
      <c r="D329" s="85">
        <v>545</v>
      </c>
    </row>
    <row r="330" spans="1:4" x14ac:dyDescent="0.3">
      <c r="A330" s="75">
        <v>41573</v>
      </c>
      <c r="B330" s="78" t="s">
        <v>69</v>
      </c>
      <c r="C330" s="78" t="s">
        <v>68</v>
      </c>
      <c r="D330" s="85">
        <v>111</v>
      </c>
    </row>
    <row r="331" spans="1:4" x14ac:dyDescent="0.3">
      <c r="A331" s="75">
        <v>41569</v>
      </c>
      <c r="B331" s="78" t="s">
        <v>63</v>
      </c>
      <c r="C331" s="78" t="s">
        <v>81</v>
      </c>
      <c r="D331" s="85">
        <v>227</v>
      </c>
    </row>
    <row r="332" spans="1:4" x14ac:dyDescent="0.3">
      <c r="A332" s="75">
        <v>41568</v>
      </c>
      <c r="B332" s="78" t="s">
        <v>67</v>
      </c>
      <c r="C332" s="78" t="s">
        <v>68</v>
      </c>
      <c r="D332" s="85">
        <v>340</v>
      </c>
    </row>
    <row r="333" spans="1:4" x14ac:dyDescent="0.3">
      <c r="A333" s="75">
        <v>41572</v>
      </c>
      <c r="B333" s="78" t="s">
        <v>63</v>
      </c>
      <c r="C333" s="78" t="s">
        <v>70</v>
      </c>
      <c r="D333" s="85">
        <v>123</v>
      </c>
    </row>
    <row r="334" spans="1:4" x14ac:dyDescent="0.3">
      <c r="A334" s="75">
        <v>41567</v>
      </c>
      <c r="B334" s="78" t="s">
        <v>63</v>
      </c>
      <c r="C334" s="78" t="s">
        <v>68</v>
      </c>
      <c r="D334" s="85">
        <v>229</v>
      </c>
    </row>
    <row r="335" spans="1:4" x14ac:dyDescent="0.3">
      <c r="A335" s="75">
        <v>41571</v>
      </c>
      <c r="B335" s="78" t="s">
        <v>67</v>
      </c>
      <c r="C335" s="78" t="s">
        <v>82</v>
      </c>
      <c r="D335" s="85">
        <v>618</v>
      </c>
    </row>
    <row r="336" spans="1:4" x14ac:dyDescent="0.3">
      <c r="A336" s="75">
        <v>41571</v>
      </c>
      <c r="B336" s="78" t="s">
        <v>69</v>
      </c>
      <c r="C336" s="78" t="s">
        <v>78</v>
      </c>
      <c r="D336" s="85">
        <v>65</v>
      </c>
    </row>
    <row r="337" spans="1:4" x14ac:dyDescent="0.3">
      <c r="A337" s="75">
        <v>41568</v>
      </c>
      <c r="B337" s="78" t="s">
        <v>63</v>
      </c>
      <c r="C337" s="78" t="s">
        <v>72</v>
      </c>
      <c r="D337" s="85">
        <v>19</v>
      </c>
    </row>
    <row r="338" spans="1:4" x14ac:dyDescent="0.3">
      <c r="A338" s="75">
        <v>41573</v>
      </c>
      <c r="B338" s="78" t="s">
        <v>69</v>
      </c>
      <c r="C338" s="78" t="s">
        <v>82</v>
      </c>
      <c r="D338" s="85">
        <v>72</v>
      </c>
    </row>
    <row r="339" spans="1:4" x14ac:dyDescent="0.3">
      <c r="A339" s="75">
        <v>41573</v>
      </c>
      <c r="B339" s="78" t="s">
        <v>63</v>
      </c>
      <c r="C339" s="78" t="s">
        <v>70</v>
      </c>
      <c r="D339" s="85">
        <v>103</v>
      </c>
    </row>
    <row r="340" spans="1:4" x14ac:dyDescent="0.3">
      <c r="A340" s="75">
        <v>41572</v>
      </c>
      <c r="B340" s="78" t="s">
        <v>63</v>
      </c>
      <c r="C340" s="78" t="s">
        <v>72</v>
      </c>
      <c r="D340" s="85">
        <v>658</v>
      </c>
    </row>
    <row r="341" spans="1:4" x14ac:dyDescent="0.3">
      <c r="A341" s="75">
        <v>41569</v>
      </c>
      <c r="B341" s="78" t="s">
        <v>69</v>
      </c>
      <c r="C341" s="78" t="s">
        <v>81</v>
      </c>
      <c r="D341" s="85">
        <v>523</v>
      </c>
    </row>
    <row r="342" spans="1:4" x14ac:dyDescent="0.3">
      <c r="A342" s="75">
        <v>41568</v>
      </c>
      <c r="B342" s="78" t="s">
        <v>67</v>
      </c>
      <c r="C342" s="78" t="s">
        <v>74</v>
      </c>
      <c r="D342" s="85">
        <v>338</v>
      </c>
    </row>
    <row r="343" spans="1:4" x14ac:dyDescent="0.3">
      <c r="A343" s="75">
        <v>41572</v>
      </c>
      <c r="B343" s="78" t="s">
        <v>67</v>
      </c>
      <c r="C343" s="78" t="s">
        <v>68</v>
      </c>
      <c r="D343" s="85">
        <v>33</v>
      </c>
    </row>
    <row r="344" spans="1:4" x14ac:dyDescent="0.3">
      <c r="A344" s="75">
        <v>41573</v>
      </c>
      <c r="B344" s="78" t="s">
        <v>63</v>
      </c>
      <c r="C344" s="78" t="s">
        <v>65</v>
      </c>
      <c r="D344" s="85">
        <v>553</v>
      </c>
    </row>
    <row r="345" spans="1:4" x14ac:dyDescent="0.3">
      <c r="A345" s="75">
        <v>41572</v>
      </c>
      <c r="B345" s="78" t="s">
        <v>67</v>
      </c>
      <c r="C345" s="78" t="s">
        <v>74</v>
      </c>
      <c r="D345" s="85">
        <v>346</v>
      </c>
    </row>
    <row r="346" spans="1:4" x14ac:dyDescent="0.3">
      <c r="A346" s="75">
        <v>41569</v>
      </c>
      <c r="B346" s="78" t="s">
        <v>67</v>
      </c>
      <c r="C346" s="78" t="s">
        <v>72</v>
      </c>
      <c r="D346" s="85">
        <v>125</v>
      </c>
    </row>
    <row r="347" spans="1:4" x14ac:dyDescent="0.3">
      <c r="A347" s="75">
        <v>41568</v>
      </c>
      <c r="B347" s="78" t="s">
        <v>63</v>
      </c>
      <c r="C347" s="78" t="s">
        <v>72</v>
      </c>
      <c r="D347" s="85">
        <v>241</v>
      </c>
    </row>
    <row r="348" spans="1:4" x14ac:dyDescent="0.3">
      <c r="A348" s="75">
        <v>41569</v>
      </c>
      <c r="B348" s="78" t="s">
        <v>63</v>
      </c>
      <c r="C348" s="78" t="s">
        <v>71</v>
      </c>
      <c r="D348" s="85">
        <v>316</v>
      </c>
    </row>
    <row r="349" spans="1:4" x14ac:dyDescent="0.3">
      <c r="A349" s="75">
        <v>41567</v>
      </c>
      <c r="B349" s="78" t="s">
        <v>67</v>
      </c>
      <c r="C349" s="78" t="s">
        <v>73</v>
      </c>
      <c r="D349" s="85">
        <v>392</v>
      </c>
    </row>
    <row r="350" spans="1:4" x14ac:dyDescent="0.3">
      <c r="A350" s="75">
        <v>41573</v>
      </c>
      <c r="B350" s="78" t="s">
        <v>63</v>
      </c>
      <c r="C350" s="78" t="s">
        <v>73</v>
      </c>
      <c r="D350" s="85">
        <v>644</v>
      </c>
    </row>
    <row r="351" spans="1:4" x14ac:dyDescent="0.3">
      <c r="A351" s="75">
        <v>41571</v>
      </c>
      <c r="B351" s="78" t="s">
        <v>67</v>
      </c>
      <c r="C351" s="78" t="s">
        <v>81</v>
      </c>
      <c r="D351" s="85">
        <v>259</v>
      </c>
    </row>
    <row r="352" spans="1:4" x14ac:dyDescent="0.3">
      <c r="A352" s="75">
        <v>41568</v>
      </c>
      <c r="B352" s="78" t="s">
        <v>63</v>
      </c>
      <c r="C352" s="78" t="s">
        <v>81</v>
      </c>
      <c r="D352" s="85">
        <v>488</v>
      </c>
    </row>
    <row r="353" spans="1:4" x14ac:dyDescent="0.3">
      <c r="A353" s="75">
        <v>41569</v>
      </c>
      <c r="B353" s="78" t="s">
        <v>67</v>
      </c>
      <c r="C353" s="78" t="s">
        <v>68</v>
      </c>
      <c r="D353" s="85">
        <v>299</v>
      </c>
    </row>
    <row r="354" spans="1:4" x14ac:dyDescent="0.3">
      <c r="A354" s="75">
        <v>41568</v>
      </c>
      <c r="B354" s="78" t="s">
        <v>67</v>
      </c>
      <c r="C354" s="78" t="s">
        <v>78</v>
      </c>
      <c r="D354" s="85">
        <v>36</v>
      </c>
    </row>
    <row r="355" spans="1:4" x14ac:dyDescent="0.3">
      <c r="A355" s="75">
        <v>41569</v>
      </c>
      <c r="B355" s="78" t="s">
        <v>69</v>
      </c>
      <c r="C355" s="78" t="s">
        <v>79</v>
      </c>
      <c r="D355" s="85">
        <v>83</v>
      </c>
    </row>
    <row r="356" spans="1:4" x14ac:dyDescent="0.3">
      <c r="A356" s="75">
        <v>41572</v>
      </c>
      <c r="B356" s="78" t="s">
        <v>69</v>
      </c>
      <c r="C356" s="78" t="s">
        <v>88</v>
      </c>
      <c r="D356" s="85">
        <v>80</v>
      </c>
    </row>
    <row r="357" spans="1:4" x14ac:dyDescent="0.3">
      <c r="A357" s="75">
        <v>41569</v>
      </c>
      <c r="B357" s="78" t="s">
        <v>69</v>
      </c>
      <c r="C357" s="78" t="s">
        <v>66</v>
      </c>
      <c r="D357" s="85">
        <v>349</v>
      </c>
    </row>
    <row r="358" spans="1:4" x14ac:dyDescent="0.3">
      <c r="A358" s="75">
        <v>41569</v>
      </c>
      <c r="B358" s="78" t="s">
        <v>63</v>
      </c>
      <c r="C358" s="78" t="s">
        <v>72</v>
      </c>
      <c r="D358" s="85">
        <v>342</v>
      </c>
    </row>
    <row r="359" spans="1:4" x14ac:dyDescent="0.3">
      <c r="A359" s="75">
        <v>41571</v>
      </c>
      <c r="B359" s="78" t="s">
        <v>63</v>
      </c>
      <c r="C359" s="78" t="s">
        <v>71</v>
      </c>
      <c r="D359" s="85">
        <v>540</v>
      </c>
    </row>
    <row r="360" spans="1:4" x14ac:dyDescent="0.3">
      <c r="A360" s="75">
        <v>41569</v>
      </c>
      <c r="B360" s="78" t="s">
        <v>69</v>
      </c>
      <c r="C360" s="78" t="s">
        <v>90</v>
      </c>
      <c r="D360" s="85">
        <v>411</v>
      </c>
    </row>
    <row r="361" spans="1:4" x14ac:dyDescent="0.3">
      <c r="A361" s="75">
        <v>41568</v>
      </c>
      <c r="B361" s="78" t="s">
        <v>63</v>
      </c>
      <c r="C361" s="78" t="s">
        <v>83</v>
      </c>
      <c r="D361" s="85">
        <v>632</v>
      </c>
    </row>
    <row r="362" spans="1:4" x14ac:dyDescent="0.3">
      <c r="A362" s="75">
        <v>41572</v>
      </c>
      <c r="B362" s="78" t="s">
        <v>63</v>
      </c>
      <c r="C362" s="78" t="s">
        <v>88</v>
      </c>
      <c r="D362" s="85">
        <v>175</v>
      </c>
    </row>
    <row r="363" spans="1:4" x14ac:dyDescent="0.3">
      <c r="A363" s="75">
        <v>41568</v>
      </c>
      <c r="B363" s="78" t="s">
        <v>69</v>
      </c>
      <c r="C363" s="78" t="s">
        <v>73</v>
      </c>
      <c r="D363" s="85">
        <v>606</v>
      </c>
    </row>
    <row r="364" spans="1:4" x14ac:dyDescent="0.3">
      <c r="A364" s="75">
        <v>41568</v>
      </c>
      <c r="B364" s="78" t="s">
        <v>67</v>
      </c>
      <c r="C364" s="78" t="s">
        <v>79</v>
      </c>
      <c r="D364" s="85">
        <v>658</v>
      </c>
    </row>
    <row r="365" spans="1:4" x14ac:dyDescent="0.3">
      <c r="A365" s="75">
        <v>41572</v>
      </c>
      <c r="B365" s="78" t="s">
        <v>69</v>
      </c>
      <c r="C365" s="78" t="s">
        <v>65</v>
      </c>
      <c r="D365" s="85">
        <v>268</v>
      </c>
    </row>
    <row r="366" spans="1:4" x14ac:dyDescent="0.3">
      <c r="A366" s="75">
        <v>41567</v>
      </c>
      <c r="B366" s="78" t="s">
        <v>67</v>
      </c>
      <c r="C366" s="78" t="s">
        <v>65</v>
      </c>
      <c r="D366" s="85">
        <v>556</v>
      </c>
    </row>
    <row r="367" spans="1:4" x14ac:dyDescent="0.3">
      <c r="A367" s="75">
        <v>41569</v>
      </c>
      <c r="B367" s="78" t="s">
        <v>67</v>
      </c>
      <c r="C367" s="78" t="s">
        <v>78</v>
      </c>
      <c r="D367" s="85">
        <v>208</v>
      </c>
    </row>
    <row r="368" spans="1:4" x14ac:dyDescent="0.3">
      <c r="A368" s="75">
        <v>41572</v>
      </c>
      <c r="B368" s="78" t="s">
        <v>69</v>
      </c>
      <c r="C368" s="78" t="s">
        <v>86</v>
      </c>
      <c r="D368" s="85">
        <v>559</v>
      </c>
    </row>
    <row r="369" spans="1:4" x14ac:dyDescent="0.3">
      <c r="A369" s="75">
        <v>41573</v>
      </c>
      <c r="B369" s="78" t="s">
        <v>69</v>
      </c>
      <c r="C369" s="78" t="s">
        <v>78</v>
      </c>
      <c r="D369" s="85">
        <v>530</v>
      </c>
    </row>
    <row r="370" spans="1:4" x14ac:dyDescent="0.3">
      <c r="A370" s="75">
        <v>41572</v>
      </c>
      <c r="B370" s="78" t="s">
        <v>69</v>
      </c>
      <c r="C370" s="78" t="s">
        <v>82</v>
      </c>
      <c r="D370" s="85">
        <v>663</v>
      </c>
    </row>
    <row r="371" spans="1:4" x14ac:dyDescent="0.3">
      <c r="A371" s="75">
        <v>41568</v>
      </c>
      <c r="B371" s="78" t="s">
        <v>67</v>
      </c>
      <c r="C371" s="78" t="s">
        <v>78</v>
      </c>
      <c r="D371" s="85">
        <v>31</v>
      </c>
    </row>
    <row r="372" spans="1:4" x14ac:dyDescent="0.3">
      <c r="A372" s="75">
        <v>41567</v>
      </c>
      <c r="B372" s="78" t="s">
        <v>63</v>
      </c>
      <c r="C372" s="78" t="s">
        <v>70</v>
      </c>
      <c r="D372" s="85">
        <v>587</v>
      </c>
    </row>
    <row r="373" spans="1:4" x14ac:dyDescent="0.3">
      <c r="A373" s="75">
        <v>41570</v>
      </c>
      <c r="B373" s="78" t="s">
        <v>69</v>
      </c>
      <c r="C373" s="78" t="s">
        <v>74</v>
      </c>
      <c r="D373" s="85">
        <v>280</v>
      </c>
    </row>
    <row r="374" spans="1:4" x14ac:dyDescent="0.3">
      <c r="A374" s="75">
        <v>41567</v>
      </c>
      <c r="B374" s="78" t="s">
        <v>67</v>
      </c>
      <c r="C374" s="78" t="s">
        <v>70</v>
      </c>
      <c r="D374" s="85">
        <v>488</v>
      </c>
    </row>
    <row r="375" spans="1:4" x14ac:dyDescent="0.3">
      <c r="A375" s="75">
        <v>41572</v>
      </c>
      <c r="B375" s="78" t="s">
        <v>69</v>
      </c>
      <c r="C375" s="78" t="s">
        <v>66</v>
      </c>
      <c r="D375" s="85">
        <v>609</v>
      </c>
    </row>
    <row r="376" spans="1:4" x14ac:dyDescent="0.3">
      <c r="A376" s="75">
        <v>41573</v>
      </c>
      <c r="B376" s="78" t="s">
        <v>67</v>
      </c>
      <c r="C376" s="78" t="s">
        <v>71</v>
      </c>
      <c r="D376" s="85">
        <v>375</v>
      </c>
    </row>
    <row r="377" spans="1:4" x14ac:dyDescent="0.3">
      <c r="A377" s="75">
        <v>41572</v>
      </c>
      <c r="B377" s="78" t="s">
        <v>67</v>
      </c>
      <c r="C377" s="78" t="s">
        <v>74</v>
      </c>
      <c r="D377" s="85">
        <v>474</v>
      </c>
    </row>
    <row r="378" spans="1:4" x14ac:dyDescent="0.3">
      <c r="A378" s="75">
        <v>41570</v>
      </c>
      <c r="B378" s="78" t="s">
        <v>69</v>
      </c>
      <c r="C378" s="78" t="s">
        <v>83</v>
      </c>
      <c r="D378" s="85">
        <v>323</v>
      </c>
    </row>
    <row r="379" spans="1:4" x14ac:dyDescent="0.3">
      <c r="A379" s="75">
        <v>41573</v>
      </c>
      <c r="B379" s="78" t="s">
        <v>69</v>
      </c>
      <c r="C379" s="78" t="s">
        <v>84</v>
      </c>
      <c r="D379" s="85">
        <v>650</v>
      </c>
    </row>
    <row r="380" spans="1:4" x14ac:dyDescent="0.3">
      <c r="A380" s="75">
        <v>41568</v>
      </c>
      <c r="B380" s="78" t="s">
        <v>67</v>
      </c>
      <c r="C380" s="78" t="s">
        <v>71</v>
      </c>
      <c r="D380" s="85">
        <v>505</v>
      </c>
    </row>
    <row r="381" spans="1:4" x14ac:dyDescent="0.3">
      <c r="A381" s="75">
        <v>41567</v>
      </c>
      <c r="B381" s="78" t="s">
        <v>69</v>
      </c>
      <c r="C381" s="78" t="s">
        <v>68</v>
      </c>
      <c r="D381" s="85">
        <v>114</v>
      </c>
    </row>
    <row r="382" spans="1:4" x14ac:dyDescent="0.3">
      <c r="A382" s="75">
        <v>41567</v>
      </c>
      <c r="B382" s="78" t="s">
        <v>69</v>
      </c>
      <c r="C382" s="78" t="s">
        <v>82</v>
      </c>
      <c r="D382" s="85">
        <v>483</v>
      </c>
    </row>
    <row r="383" spans="1:4" x14ac:dyDescent="0.3">
      <c r="A383" s="75">
        <v>41569</v>
      </c>
      <c r="B383" s="78" t="s">
        <v>63</v>
      </c>
      <c r="C383" s="78" t="s">
        <v>72</v>
      </c>
      <c r="D383" s="85">
        <v>444</v>
      </c>
    </row>
    <row r="384" spans="1:4" x14ac:dyDescent="0.3">
      <c r="A384" s="75">
        <v>41573</v>
      </c>
      <c r="B384" s="78" t="s">
        <v>69</v>
      </c>
      <c r="C384" s="78" t="s">
        <v>72</v>
      </c>
      <c r="D384" s="85">
        <v>642</v>
      </c>
    </row>
    <row r="385" spans="1:4" x14ac:dyDescent="0.3">
      <c r="A385" s="75">
        <v>41569</v>
      </c>
      <c r="B385" s="78" t="s">
        <v>69</v>
      </c>
      <c r="C385" s="78" t="s">
        <v>82</v>
      </c>
      <c r="D385" s="85">
        <v>241</v>
      </c>
    </row>
    <row r="386" spans="1:4" x14ac:dyDescent="0.3">
      <c r="A386" s="75">
        <v>41571</v>
      </c>
      <c r="B386" s="78" t="s">
        <v>69</v>
      </c>
      <c r="C386" s="78" t="s">
        <v>76</v>
      </c>
      <c r="D386" s="85">
        <v>444</v>
      </c>
    </row>
    <row r="387" spans="1:4" x14ac:dyDescent="0.3">
      <c r="A387" s="75">
        <v>41570</v>
      </c>
      <c r="B387" s="78" t="s">
        <v>67</v>
      </c>
      <c r="C387" s="78" t="s">
        <v>72</v>
      </c>
      <c r="D387" s="85">
        <v>270</v>
      </c>
    </row>
    <row r="388" spans="1:4" x14ac:dyDescent="0.3">
      <c r="A388" s="75">
        <v>41570</v>
      </c>
      <c r="B388" s="78" t="s">
        <v>67</v>
      </c>
      <c r="C388" s="78" t="s">
        <v>65</v>
      </c>
      <c r="D388" s="85">
        <v>608</v>
      </c>
    </row>
    <row r="389" spans="1:4" x14ac:dyDescent="0.3">
      <c r="A389" s="75">
        <v>41573</v>
      </c>
      <c r="B389" s="78" t="s">
        <v>63</v>
      </c>
      <c r="C389" s="78" t="s">
        <v>74</v>
      </c>
      <c r="D389" s="85">
        <v>498</v>
      </c>
    </row>
    <row r="390" spans="1:4" x14ac:dyDescent="0.3">
      <c r="A390" s="75">
        <v>41568</v>
      </c>
      <c r="B390" s="78" t="s">
        <v>67</v>
      </c>
      <c r="C390" s="78" t="s">
        <v>71</v>
      </c>
      <c r="D390" s="85">
        <v>100</v>
      </c>
    </row>
    <row r="391" spans="1:4" x14ac:dyDescent="0.3">
      <c r="A391" s="75">
        <v>41569</v>
      </c>
      <c r="B391" s="78" t="s">
        <v>67</v>
      </c>
      <c r="C391" s="78" t="s">
        <v>74</v>
      </c>
      <c r="D391" s="85">
        <v>379</v>
      </c>
    </row>
    <row r="392" spans="1:4" x14ac:dyDescent="0.3">
      <c r="A392" s="75">
        <v>41569</v>
      </c>
      <c r="B392" s="78" t="s">
        <v>69</v>
      </c>
      <c r="C392" s="78" t="s">
        <v>65</v>
      </c>
      <c r="D392" s="85">
        <v>332</v>
      </c>
    </row>
    <row r="393" spans="1:4" x14ac:dyDescent="0.3">
      <c r="A393" s="75">
        <v>41573</v>
      </c>
      <c r="B393" s="78" t="s">
        <v>67</v>
      </c>
      <c r="C393" s="78" t="s">
        <v>79</v>
      </c>
      <c r="D393" s="85">
        <v>13</v>
      </c>
    </row>
    <row r="394" spans="1:4" x14ac:dyDescent="0.3">
      <c r="A394" s="75">
        <v>41573</v>
      </c>
      <c r="B394" s="78" t="s">
        <v>69</v>
      </c>
      <c r="C394" s="78" t="s">
        <v>83</v>
      </c>
      <c r="D394" s="85">
        <v>456</v>
      </c>
    </row>
    <row r="395" spans="1:4" x14ac:dyDescent="0.3">
      <c r="A395" s="75">
        <v>41568</v>
      </c>
      <c r="B395" s="78" t="s">
        <v>69</v>
      </c>
      <c r="C395" s="78" t="s">
        <v>78</v>
      </c>
      <c r="D395" s="85">
        <v>249</v>
      </c>
    </row>
    <row r="396" spans="1:4" x14ac:dyDescent="0.3">
      <c r="A396" s="75">
        <v>41573</v>
      </c>
      <c r="B396" s="78" t="s">
        <v>63</v>
      </c>
      <c r="C396" s="78" t="s">
        <v>79</v>
      </c>
      <c r="D396" s="85">
        <v>324</v>
      </c>
    </row>
    <row r="397" spans="1:4" x14ac:dyDescent="0.3">
      <c r="A397" s="75">
        <v>41569</v>
      </c>
      <c r="B397" s="78" t="s">
        <v>63</v>
      </c>
      <c r="C397" s="78" t="s">
        <v>87</v>
      </c>
      <c r="D397" s="85">
        <v>423</v>
      </c>
    </row>
    <row r="398" spans="1:4" x14ac:dyDescent="0.3">
      <c r="A398" s="75">
        <v>41567</v>
      </c>
      <c r="B398" s="78" t="s">
        <v>63</v>
      </c>
      <c r="C398" s="78" t="s">
        <v>73</v>
      </c>
      <c r="D398" s="85">
        <v>220</v>
      </c>
    </row>
    <row r="399" spans="1:4" x14ac:dyDescent="0.3">
      <c r="A399" s="75">
        <v>41567</v>
      </c>
      <c r="B399" s="78" t="s">
        <v>69</v>
      </c>
      <c r="C399" s="78" t="s">
        <v>65</v>
      </c>
      <c r="D399" s="85">
        <v>47</v>
      </c>
    </row>
    <row r="400" spans="1:4" x14ac:dyDescent="0.3">
      <c r="A400" s="75">
        <v>41567</v>
      </c>
      <c r="B400" s="78" t="s">
        <v>63</v>
      </c>
      <c r="C400" s="78" t="s">
        <v>74</v>
      </c>
      <c r="D400" s="85">
        <v>651</v>
      </c>
    </row>
    <row r="401" spans="1:4" x14ac:dyDescent="0.3">
      <c r="A401" s="75">
        <v>41568</v>
      </c>
      <c r="B401" s="78" t="s">
        <v>63</v>
      </c>
      <c r="C401" s="78" t="s">
        <v>65</v>
      </c>
      <c r="D401" s="85">
        <v>89</v>
      </c>
    </row>
    <row r="402" spans="1:4" x14ac:dyDescent="0.3">
      <c r="A402" s="75">
        <v>41570</v>
      </c>
      <c r="B402" s="78" t="s">
        <v>69</v>
      </c>
      <c r="C402" s="78" t="s">
        <v>71</v>
      </c>
      <c r="D402" s="85">
        <v>590</v>
      </c>
    </row>
    <row r="403" spans="1:4" x14ac:dyDescent="0.3">
      <c r="A403" s="75">
        <v>41571</v>
      </c>
      <c r="B403" s="78" t="s">
        <v>67</v>
      </c>
      <c r="C403" s="78" t="s">
        <v>74</v>
      </c>
      <c r="D403" s="85">
        <v>681</v>
      </c>
    </row>
    <row r="404" spans="1:4" x14ac:dyDescent="0.3">
      <c r="A404" s="75">
        <v>41567</v>
      </c>
      <c r="B404" s="78" t="s">
        <v>67</v>
      </c>
      <c r="C404" s="78" t="s">
        <v>70</v>
      </c>
      <c r="D404" s="85">
        <v>538</v>
      </c>
    </row>
    <row r="405" spans="1:4" x14ac:dyDescent="0.3">
      <c r="A405" s="75">
        <v>41567</v>
      </c>
      <c r="B405" s="78" t="s">
        <v>63</v>
      </c>
      <c r="C405" s="78" t="s">
        <v>90</v>
      </c>
      <c r="D405" s="85">
        <v>562</v>
      </c>
    </row>
    <row r="406" spans="1:4" x14ac:dyDescent="0.3">
      <c r="A406" s="75">
        <v>41571</v>
      </c>
      <c r="B406" s="78" t="s">
        <v>67</v>
      </c>
      <c r="C406" s="78" t="s">
        <v>84</v>
      </c>
      <c r="D406" s="85">
        <v>97</v>
      </c>
    </row>
    <row r="407" spans="1:4" x14ac:dyDescent="0.3">
      <c r="A407" s="75">
        <v>41569</v>
      </c>
      <c r="B407" s="78" t="s">
        <v>69</v>
      </c>
      <c r="C407" s="78" t="s">
        <v>81</v>
      </c>
      <c r="D407" s="85">
        <v>583</v>
      </c>
    </row>
    <row r="408" spans="1:4" x14ac:dyDescent="0.3">
      <c r="A408" s="75">
        <v>41572</v>
      </c>
      <c r="B408" s="78" t="s">
        <v>67</v>
      </c>
      <c r="C408" s="78" t="s">
        <v>71</v>
      </c>
      <c r="D408" s="85">
        <v>268</v>
      </c>
    </row>
    <row r="409" spans="1:4" x14ac:dyDescent="0.3">
      <c r="A409" s="75">
        <v>41573</v>
      </c>
      <c r="B409" s="78" t="s">
        <v>67</v>
      </c>
      <c r="C409" s="78" t="s">
        <v>83</v>
      </c>
      <c r="D409" s="85">
        <v>443</v>
      </c>
    </row>
    <row r="410" spans="1:4" x14ac:dyDescent="0.3">
      <c r="A410" s="75">
        <v>41573</v>
      </c>
      <c r="B410" s="78" t="s">
        <v>63</v>
      </c>
      <c r="C410" s="78" t="s">
        <v>85</v>
      </c>
      <c r="D410" s="85">
        <v>455</v>
      </c>
    </row>
    <row r="411" spans="1:4" x14ac:dyDescent="0.3">
      <c r="A411" s="75">
        <v>41570</v>
      </c>
      <c r="B411" s="78" t="s">
        <v>69</v>
      </c>
      <c r="C411" s="78" t="s">
        <v>64</v>
      </c>
      <c r="D411" s="85">
        <v>663</v>
      </c>
    </row>
    <row r="412" spans="1:4" x14ac:dyDescent="0.3">
      <c r="A412" s="75">
        <v>41569</v>
      </c>
      <c r="B412" s="78" t="s">
        <v>63</v>
      </c>
      <c r="C412" s="78" t="s">
        <v>79</v>
      </c>
      <c r="D412" s="85">
        <v>518</v>
      </c>
    </row>
    <row r="413" spans="1:4" x14ac:dyDescent="0.3">
      <c r="A413" s="75">
        <v>41572</v>
      </c>
      <c r="B413" s="78" t="s">
        <v>63</v>
      </c>
      <c r="C413" s="78" t="s">
        <v>77</v>
      </c>
      <c r="D413" s="85">
        <v>621</v>
      </c>
    </row>
    <row r="414" spans="1:4" x14ac:dyDescent="0.3">
      <c r="A414" s="75">
        <v>41568</v>
      </c>
      <c r="B414" s="78" t="s">
        <v>67</v>
      </c>
      <c r="C414" s="78" t="s">
        <v>79</v>
      </c>
      <c r="D414" s="85">
        <v>645</v>
      </c>
    </row>
    <row r="415" spans="1:4" x14ac:dyDescent="0.3">
      <c r="A415" s="75">
        <v>41568</v>
      </c>
      <c r="B415" s="78" t="s">
        <v>69</v>
      </c>
      <c r="C415" s="78" t="s">
        <v>79</v>
      </c>
      <c r="D415" s="85">
        <v>131</v>
      </c>
    </row>
    <row r="416" spans="1:4" x14ac:dyDescent="0.3">
      <c r="A416" s="75">
        <v>41571</v>
      </c>
      <c r="B416" s="78" t="s">
        <v>69</v>
      </c>
      <c r="C416" s="78" t="s">
        <v>65</v>
      </c>
      <c r="D416" s="85">
        <v>130</v>
      </c>
    </row>
    <row r="417" spans="1:4" x14ac:dyDescent="0.3">
      <c r="A417" s="75">
        <v>41573</v>
      </c>
      <c r="B417" s="78" t="s">
        <v>63</v>
      </c>
      <c r="C417" s="78" t="s">
        <v>80</v>
      </c>
      <c r="D417" s="85">
        <v>415</v>
      </c>
    </row>
    <row r="418" spans="1:4" x14ac:dyDescent="0.3">
      <c r="A418" s="75">
        <v>41570</v>
      </c>
      <c r="B418" s="78" t="s">
        <v>69</v>
      </c>
      <c r="C418" s="78" t="s">
        <v>74</v>
      </c>
      <c r="D418" s="85">
        <v>119</v>
      </c>
    </row>
    <row r="419" spans="1:4" x14ac:dyDescent="0.3">
      <c r="A419" s="75">
        <v>41569</v>
      </c>
      <c r="B419" s="78" t="s">
        <v>69</v>
      </c>
      <c r="C419" s="78" t="s">
        <v>65</v>
      </c>
      <c r="D419" s="85">
        <v>307</v>
      </c>
    </row>
    <row r="420" spans="1:4" x14ac:dyDescent="0.3">
      <c r="A420" s="75">
        <v>41568</v>
      </c>
      <c r="B420" s="78" t="s">
        <v>69</v>
      </c>
      <c r="C420" s="78" t="s">
        <v>82</v>
      </c>
      <c r="D420" s="85">
        <v>472</v>
      </c>
    </row>
    <row r="421" spans="1:4" x14ac:dyDescent="0.3">
      <c r="A421" s="75">
        <v>41571</v>
      </c>
      <c r="B421" s="78" t="s">
        <v>69</v>
      </c>
      <c r="C421" s="78" t="s">
        <v>70</v>
      </c>
      <c r="D421" s="85">
        <v>136</v>
      </c>
    </row>
    <row r="422" spans="1:4" x14ac:dyDescent="0.3">
      <c r="A422" s="75">
        <v>41568</v>
      </c>
      <c r="B422" s="78" t="s">
        <v>67</v>
      </c>
      <c r="C422" s="78" t="s">
        <v>79</v>
      </c>
      <c r="D422" s="85">
        <v>586</v>
      </c>
    </row>
    <row r="423" spans="1:4" x14ac:dyDescent="0.3">
      <c r="A423" s="75">
        <v>41569</v>
      </c>
      <c r="B423" s="78" t="s">
        <v>63</v>
      </c>
      <c r="C423" s="78" t="s">
        <v>79</v>
      </c>
      <c r="D423" s="85">
        <v>215</v>
      </c>
    </row>
    <row r="424" spans="1:4" x14ac:dyDescent="0.3">
      <c r="A424" s="75">
        <v>41569</v>
      </c>
      <c r="B424" s="78" t="s">
        <v>67</v>
      </c>
      <c r="C424" s="78" t="s">
        <v>71</v>
      </c>
      <c r="D424" s="85">
        <v>562</v>
      </c>
    </row>
    <row r="425" spans="1:4" x14ac:dyDescent="0.3">
      <c r="A425" s="75">
        <v>41568</v>
      </c>
      <c r="B425" s="78" t="s">
        <v>69</v>
      </c>
      <c r="C425" s="78" t="s">
        <v>88</v>
      </c>
      <c r="D425" s="85">
        <v>662</v>
      </c>
    </row>
    <row r="426" spans="1:4" x14ac:dyDescent="0.3">
      <c r="A426" s="75">
        <v>41570</v>
      </c>
      <c r="B426" s="78" t="s">
        <v>69</v>
      </c>
      <c r="C426" s="78" t="s">
        <v>74</v>
      </c>
      <c r="D426" s="85">
        <v>419</v>
      </c>
    </row>
    <row r="427" spans="1:4" x14ac:dyDescent="0.3">
      <c r="A427" s="75">
        <v>41571</v>
      </c>
      <c r="B427" s="78" t="s">
        <v>63</v>
      </c>
      <c r="C427" s="78" t="s">
        <v>81</v>
      </c>
      <c r="D427" s="85">
        <v>508</v>
      </c>
    </row>
    <row r="428" spans="1:4" x14ac:dyDescent="0.3">
      <c r="A428" s="75">
        <v>41570</v>
      </c>
      <c r="B428" s="78" t="s">
        <v>69</v>
      </c>
      <c r="C428" s="78" t="s">
        <v>79</v>
      </c>
      <c r="D428" s="85">
        <v>170</v>
      </c>
    </row>
    <row r="429" spans="1:4" x14ac:dyDescent="0.3">
      <c r="A429" s="75">
        <v>41567</v>
      </c>
      <c r="B429" s="78" t="s">
        <v>69</v>
      </c>
      <c r="C429" s="78" t="s">
        <v>87</v>
      </c>
      <c r="D429" s="85">
        <v>586</v>
      </c>
    </row>
    <row r="430" spans="1:4" x14ac:dyDescent="0.3">
      <c r="A430" s="75">
        <v>41571</v>
      </c>
      <c r="B430" s="78" t="s">
        <v>69</v>
      </c>
      <c r="C430" s="78" t="s">
        <v>66</v>
      </c>
      <c r="D430" s="85">
        <v>219</v>
      </c>
    </row>
    <row r="431" spans="1:4" x14ac:dyDescent="0.3">
      <c r="A431" s="75">
        <v>41571</v>
      </c>
      <c r="B431" s="78" t="s">
        <v>69</v>
      </c>
      <c r="C431" s="78" t="s">
        <v>68</v>
      </c>
      <c r="D431" s="85">
        <v>339</v>
      </c>
    </row>
    <row r="432" spans="1:4" x14ac:dyDescent="0.3">
      <c r="A432" s="75">
        <v>41571</v>
      </c>
      <c r="B432" s="78" t="s">
        <v>69</v>
      </c>
      <c r="C432" s="78" t="s">
        <v>84</v>
      </c>
      <c r="D432" s="85">
        <v>198</v>
      </c>
    </row>
    <row r="433" spans="1:4" x14ac:dyDescent="0.3">
      <c r="A433" s="75">
        <v>41570</v>
      </c>
      <c r="B433" s="78" t="s">
        <v>67</v>
      </c>
      <c r="C433" s="78" t="s">
        <v>70</v>
      </c>
      <c r="D433" s="85">
        <v>674</v>
      </c>
    </row>
    <row r="434" spans="1:4" x14ac:dyDescent="0.3">
      <c r="A434" s="75">
        <v>41568</v>
      </c>
      <c r="B434" s="78" t="s">
        <v>67</v>
      </c>
      <c r="C434" s="78" t="s">
        <v>65</v>
      </c>
      <c r="D434" s="85">
        <v>399</v>
      </c>
    </row>
    <row r="435" spans="1:4" x14ac:dyDescent="0.3">
      <c r="A435" s="75">
        <v>41569</v>
      </c>
      <c r="B435" s="78" t="s">
        <v>67</v>
      </c>
      <c r="C435" s="78" t="s">
        <v>70</v>
      </c>
      <c r="D435" s="85">
        <v>615</v>
      </c>
    </row>
    <row r="436" spans="1:4" x14ac:dyDescent="0.3">
      <c r="A436" s="75">
        <v>41568</v>
      </c>
      <c r="B436" s="78" t="s">
        <v>67</v>
      </c>
      <c r="C436" s="78" t="s">
        <v>74</v>
      </c>
      <c r="D436" s="85">
        <v>107</v>
      </c>
    </row>
    <row r="437" spans="1:4" x14ac:dyDescent="0.3">
      <c r="A437" s="75">
        <v>41571</v>
      </c>
      <c r="B437" s="78" t="s">
        <v>67</v>
      </c>
      <c r="C437" s="78" t="s">
        <v>83</v>
      </c>
      <c r="D437" s="85">
        <v>199</v>
      </c>
    </row>
    <row r="438" spans="1:4" x14ac:dyDescent="0.3">
      <c r="A438" s="75">
        <v>41572</v>
      </c>
      <c r="B438" s="78" t="s">
        <v>63</v>
      </c>
      <c r="C438" s="78" t="s">
        <v>68</v>
      </c>
      <c r="D438" s="85">
        <v>23</v>
      </c>
    </row>
    <row r="439" spans="1:4" x14ac:dyDescent="0.3">
      <c r="A439" s="75">
        <v>41567</v>
      </c>
      <c r="B439" s="78" t="s">
        <v>69</v>
      </c>
      <c r="C439" s="78" t="s">
        <v>71</v>
      </c>
      <c r="D439" s="85">
        <v>297</v>
      </c>
    </row>
    <row r="440" spans="1:4" x14ac:dyDescent="0.3">
      <c r="A440" s="75">
        <v>41567</v>
      </c>
      <c r="B440" s="78" t="s">
        <v>67</v>
      </c>
      <c r="C440" s="78" t="s">
        <v>68</v>
      </c>
      <c r="D440" s="85">
        <v>273</v>
      </c>
    </row>
    <row r="441" spans="1:4" x14ac:dyDescent="0.3">
      <c r="A441" s="75">
        <v>41573</v>
      </c>
      <c r="B441" s="78" t="s">
        <v>63</v>
      </c>
      <c r="C441" s="78" t="s">
        <v>83</v>
      </c>
      <c r="D441" s="85">
        <v>281</v>
      </c>
    </row>
    <row r="442" spans="1:4" x14ac:dyDescent="0.3">
      <c r="A442" s="75">
        <v>41569</v>
      </c>
      <c r="B442" s="78" t="s">
        <v>69</v>
      </c>
      <c r="C442" s="78" t="s">
        <v>68</v>
      </c>
      <c r="D442" s="85">
        <v>227</v>
      </c>
    </row>
    <row r="443" spans="1:4" x14ac:dyDescent="0.3">
      <c r="A443" s="75">
        <v>41573</v>
      </c>
      <c r="B443" s="78" t="s">
        <v>67</v>
      </c>
      <c r="C443" s="78" t="s">
        <v>66</v>
      </c>
      <c r="D443" s="85">
        <v>156</v>
      </c>
    </row>
    <row r="444" spans="1:4" x14ac:dyDescent="0.3">
      <c r="A444" s="75">
        <v>41572</v>
      </c>
      <c r="B444" s="78" t="s">
        <v>69</v>
      </c>
      <c r="C444" s="78" t="s">
        <v>68</v>
      </c>
      <c r="D444" s="85">
        <v>534</v>
      </c>
    </row>
    <row r="445" spans="1:4" x14ac:dyDescent="0.3">
      <c r="A445" s="75">
        <v>41569</v>
      </c>
      <c r="B445" s="78" t="s">
        <v>69</v>
      </c>
      <c r="C445" s="78" t="s">
        <v>65</v>
      </c>
      <c r="D445" s="85">
        <v>459</v>
      </c>
    </row>
    <row r="446" spans="1:4" x14ac:dyDescent="0.3">
      <c r="A446" s="75">
        <v>41568</v>
      </c>
      <c r="B446" s="78" t="s">
        <v>69</v>
      </c>
      <c r="C446" s="78" t="s">
        <v>66</v>
      </c>
      <c r="D446" s="85">
        <v>131</v>
      </c>
    </row>
    <row r="447" spans="1:4" x14ac:dyDescent="0.3">
      <c r="A447" s="75">
        <v>41567</v>
      </c>
      <c r="B447" s="78" t="s">
        <v>63</v>
      </c>
      <c r="C447" s="78" t="s">
        <v>66</v>
      </c>
      <c r="D447" s="85">
        <v>339</v>
      </c>
    </row>
    <row r="448" spans="1:4" x14ac:dyDescent="0.3">
      <c r="A448" s="75">
        <v>41568</v>
      </c>
      <c r="B448" s="78" t="s">
        <v>67</v>
      </c>
      <c r="C448" s="78" t="s">
        <v>88</v>
      </c>
      <c r="D448" s="85">
        <v>634</v>
      </c>
    </row>
    <row r="449" spans="1:4" x14ac:dyDescent="0.3">
      <c r="A449" s="75">
        <v>41568</v>
      </c>
      <c r="B449" s="78" t="s">
        <v>67</v>
      </c>
      <c r="C449" s="78" t="s">
        <v>70</v>
      </c>
      <c r="D449" s="85">
        <v>450</v>
      </c>
    </row>
    <row r="450" spans="1:4" x14ac:dyDescent="0.3">
      <c r="A450" s="75">
        <v>41572</v>
      </c>
      <c r="B450" s="78" t="s">
        <v>63</v>
      </c>
      <c r="C450" s="78" t="s">
        <v>89</v>
      </c>
      <c r="D450" s="85">
        <v>65</v>
      </c>
    </row>
    <row r="451" spans="1:4" x14ac:dyDescent="0.3">
      <c r="A451" s="75">
        <v>41573</v>
      </c>
      <c r="B451" s="78" t="s">
        <v>69</v>
      </c>
      <c r="C451" s="78" t="s">
        <v>78</v>
      </c>
      <c r="D451" s="85">
        <v>530</v>
      </c>
    </row>
    <row r="452" spans="1:4" x14ac:dyDescent="0.3">
      <c r="A452" s="75">
        <v>41569</v>
      </c>
      <c r="B452" s="78" t="s">
        <v>69</v>
      </c>
      <c r="C452" s="78" t="s">
        <v>70</v>
      </c>
      <c r="D452" s="85">
        <v>74</v>
      </c>
    </row>
    <row r="453" spans="1:4" x14ac:dyDescent="0.3">
      <c r="A453" s="75">
        <v>41573</v>
      </c>
      <c r="B453" s="78" t="s">
        <v>69</v>
      </c>
      <c r="C453" s="78" t="s">
        <v>86</v>
      </c>
      <c r="D453" s="85">
        <v>93</v>
      </c>
    </row>
    <row r="454" spans="1:4" x14ac:dyDescent="0.3">
      <c r="A454" s="75">
        <v>41568</v>
      </c>
      <c r="B454" s="78" t="s">
        <v>67</v>
      </c>
      <c r="C454" s="78" t="s">
        <v>90</v>
      </c>
      <c r="D454" s="85">
        <v>337</v>
      </c>
    </row>
    <row r="455" spans="1:4" x14ac:dyDescent="0.3">
      <c r="A455" s="75">
        <v>41567</v>
      </c>
      <c r="B455" s="78" t="s">
        <v>67</v>
      </c>
      <c r="C455" s="78" t="s">
        <v>79</v>
      </c>
      <c r="D455" s="85">
        <v>583</v>
      </c>
    </row>
    <row r="456" spans="1:4" x14ac:dyDescent="0.3">
      <c r="A456" s="75">
        <v>41570</v>
      </c>
      <c r="B456" s="78" t="s">
        <v>63</v>
      </c>
      <c r="C456" s="78" t="s">
        <v>66</v>
      </c>
      <c r="D456" s="85">
        <v>374</v>
      </c>
    </row>
    <row r="457" spans="1:4" x14ac:dyDescent="0.3">
      <c r="A457" s="75">
        <v>41569</v>
      </c>
      <c r="B457" s="78" t="s">
        <v>67</v>
      </c>
      <c r="C457" s="78" t="s">
        <v>65</v>
      </c>
      <c r="D457" s="85">
        <v>243</v>
      </c>
    </row>
    <row r="458" spans="1:4" x14ac:dyDescent="0.3">
      <c r="A458" s="75">
        <v>41568</v>
      </c>
      <c r="B458" s="78" t="s">
        <v>63</v>
      </c>
      <c r="C458" s="78" t="s">
        <v>73</v>
      </c>
      <c r="D458" s="85">
        <v>225</v>
      </c>
    </row>
    <row r="459" spans="1:4" x14ac:dyDescent="0.3">
      <c r="A459" s="75">
        <v>41573</v>
      </c>
      <c r="B459" s="78" t="s">
        <v>69</v>
      </c>
      <c r="C459" s="78" t="s">
        <v>74</v>
      </c>
      <c r="D459" s="85">
        <v>160</v>
      </c>
    </row>
    <row r="460" spans="1:4" x14ac:dyDescent="0.3">
      <c r="A460" s="75">
        <v>41568</v>
      </c>
      <c r="B460" s="78" t="s">
        <v>63</v>
      </c>
      <c r="C460" s="78" t="s">
        <v>78</v>
      </c>
      <c r="D460" s="85">
        <v>502</v>
      </c>
    </row>
    <row r="461" spans="1:4" x14ac:dyDescent="0.3">
      <c r="A461" s="75">
        <v>41572</v>
      </c>
      <c r="B461" s="78" t="s">
        <v>67</v>
      </c>
      <c r="C461" s="78" t="s">
        <v>68</v>
      </c>
      <c r="D461" s="85">
        <v>221</v>
      </c>
    </row>
    <row r="462" spans="1:4" x14ac:dyDescent="0.3">
      <c r="A462" s="75">
        <v>41568</v>
      </c>
      <c r="B462" s="78" t="s">
        <v>69</v>
      </c>
      <c r="C462" s="78" t="s">
        <v>80</v>
      </c>
      <c r="D462" s="85">
        <v>516</v>
      </c>
    </row>
    <row r="463" spans="1:4" x14ac:dyDescent="0.3">
      <c r="A463" s="75">
        <v>41573</v>
      </c>
      <c r="B463" s="78" t="s">
        <v>63</v>
      </c>
      <c r="C463" s="78" t="s">
        <v>74</v>
      </c>
      <c r="D463" s="85">
        <v>678</v>
      </c>
    </row>
    <row r="464" spans="1:4" x14ac:dyDescent="0.3">
      <c r="A464" s="75">
        <v>41569</v>
      </c>
      <c r="B464" s="78" t="s">
        <v>67</v>
      </c>
      <c r="C464" s="78" t="s">
        <v>72</v>
      </c>
      <c r="D464" s="85">
        <v>637</v>
      </c>
    </row>
    <row r="465" spans="1:4" x14ac:dyDescent="0.3">
      <c r="A465" s="75">
        <v>41568</v>
      </c>
      <c r="B465" s="78" t="s">
        <v>67</v>
      </c>
      <c r="C465" s="78" t="s">
        <v>74</v>
      </c>
      <c r="D465" s="85">
        <v>525</v>
      </c>
    </row>
    <row r="466" spans="1:4" x14ac:dyDescent="0.3">
      <c r="A466" s="75">
        <v>41572</v>
      </c>
      <c r="B466" s="78" t="s">
        <v>69</v>
      </c>
      <c r="C466" s="78" t="s">
        <v>72</v>
      </c>
      <c r="D466" s="85">
        <v>540</v>
      </c>
    </row>
    <row r="467" spans="1:4" x14ac:dyDescent="0.3">
      <c r="A467" s="75">
        <v>41570</v>
      </c>
      <c r="B467" s="78" t="s">
        <v>63</v>
      </c>
      <c r="C467" s="78" t="s">
        <v>65</v>
      </c>
      <c r="D467" s="85">
        <v>245</v>
      </c>
    </row>
    <row r="468" spans="1:4" x14ac:dyDescent="0.3">
      <c r="A468" s="75">
        <v>41567</v>
      </c>
      <c r="B468" s="78" t="s">
        <v>67</v>
      </c>
      <c r="C468" s="78" t="s">
        <v>72</v>
      </c>
      <c r="D468" s="85">
        <v>290</v>
      </c>
    </row>
    <row r="469" spans="1:4" x14ac:dyDescent="0.3">
      <c r="A469" s="75">
        <v>41568</v>
      </c>
      <c r="B469" s="78" t="s">
        <v>69</v>
      </c>
      <c r="C469" s="78" t="s">
        <v>68</v>
      </c>
      <c r="D469" s="85">
        <v>376</v>
      </c>
    </row>
    <row r="470" spans="1:4" x14ac:dyDescent="0.3">
      <c r="A470" s="75">
        <v>41569</v>
      </c>
      <c r="B470" s="78" t="s">
        <v>69</v>
      </c>
      <c r="C470" s="78" t="s">
        <v>65</v>
      </c>
      <c r="D470" s="85">
        <v>226</v>
      </c>
    </row>
    <row r="471" spans="1:4" x14ac:dyDescent="0.3">
      <c r="A471" s="75">
        <v>41573</v>
      </c>
      <c r="B471" s="78" t="s">
        <v>67</v>
      </c>
      <c r="C471" s="78" t="s">
        <v>66</v>
      </c>
      <c r="D471" s="85">
        <v>38</v>
      </c>
    </row>
    <row r="472" spans="1:4" x14ac:dyDescent="0.3">
      <c r="A472" s="75">
        <v>41570</v>
      </c>
      <c r="B472" s="78" t="s">
        <v>67</v>
      </c>
      <c r="C472" s="78" t="s">
        <v>71</v>
      </c>
      <c r="D472" s="85">
        <v>283</v>
      </c>
    </row>
    <row r="473" spans="1:4" x14ac:dyDescent="0.3">
      <c r="A473" s="75">
        <v>41568</v>
      </c>
      <c r="B473" s="78" t="s">
        <v>63</v>
      </c>
      <c r="C473" s="78" t="s">
        <v>70</v>
      </c>
      <c r="D473" s="85">
        <v>480</v>
      </c>
    </row>
    <row r="474" spans="1:4" x14ac:dyDescent="0.3">
      <c r="A474" s="75">
        <v>41568</v>
      </c>
      <c r="B474" s="78" t="s">
        <v>63</v>
      </c>
      <c r="C474" s="78" t="s">
        <v>75</v>
      </c>
      <c r="D474" s="85">
        <v>482</v>
      </c>
    </row>
    <row r="475" spans="1:4" x14ac:dyDescent="0.3">
      <c r="A475" s="75">
        <v>41573</v>
      </c>
      <c r="B475" s="78" t="s">
        <v>69</v>
      </c>
      <c r="C475" s="78" t="s">
        <v>65</v>
      </c>
      <c r="D475" s="85">
        <v>37</v>
      </c>
    </row>
    <row r="476" spans="1:4" x14ac:dyDescent="0.3">
      <c r="A476" s="75">
        <v>41570</v>
      </c>
      <c r="B476" s="78" t="s">
        <v>69</v>
      </c>
      <c r="C476" s="78" t="s">
        <v>78</v>
      </c>
      <c r="D476" s="85">
        <v>279</v>
      </c>
    </row>
    <row r="477" spans="1:4" x14ac:dyDescent="0.3">
      <c r="A477" s="75">
        <v>41570</v>
      </c>
      <c r="B477" s="78" t="s">
        <v>63</v>
      </c>
      <c r="C477" s="78" t="s">
        <v>79</v>
      </c>
      <c r="D477" s="85">
        <v>152</v>
      </c>
    </row>
    <row r="478" spans="1:4" x14ac:dyDescent="0.3">
      <c r="A478" s="75">
        <v>41567</v>
      </c>
      <c r="B478" s="78" t="s">
        <v>67</v>
      </c>
      <c r="C478" s="78" t="s">
        <v>88</v>
      </c>
      <c r="D478" s="85">
        <v>419</v>
      </c>
    </row>
    <row r="479" spans="1:4" x14ac:dyDescent="0.3">
      <c r="A479" s="75">
        <v>41570</v>
      </c>
      <c r="B479" s="78" t="s">
        <v>63</v>
      </c>
      <c r="C479" s="78" t="s">
        <v>82</v>
      </c>
      <c r="D479" s="85">
        <v>652</v>
      </c>
    </row>
    <row r="480" spans="1:4" x14ac:dyDescent="0.3">
      <c r="A480" s="75">
        <v>41568</v>
      </c>
      <c r="B480" s="78" t="s">
        <v>69</v>
      </c>
      <c r="C480" s="78" t="s">
        <v>68</v>
      </c>
      <c r="D480" s="85">
        <v>151</v>
      </c>
    </row>
    <row r="481" spans="1:4" x14ac:dyDescent="0.3">
      <c r="A481" s="75">
        <v>41567</v>
      </c>
      <c r="B481" s="78" t="s">
        <v>67</v>
      </c>
      <c r="C481" s="78" t="s">
        <v>70</v>
      </c>
      <c r="D481" s="85">
        <v>99</v>
      </c>
    </row>
    <row r="482" spans="1:4" x14ac:dyDescent="0.3">
      <c r="A482" s="75">
        <v>41572</v>
      </c>
      <c r="B482" s="78" t="s">
        <v>67</v>
      </c>
      <c r="C482" s="78" t="s">
        <v>72</v>
      </c>
      <c r="D482" s="85">
        <v>432</v>
      </c>
    </row>
    <row r="483" spans="1:4" x14ac:dyDescent="0.3">
      <c r="A483" s="75">
        <v>41568</v>
      </c>
      <c r="B483" s="78" t="s">
        <v>67</v>
      </c>
      <c r="C483" s="78" t="s">
        <v>70</v>
      </c>
      <c r="D483" s="85">
        <v>174</v>
      </c>
    </row>
    <row r="484" spans="1:4" x14ac:dyDescent="0.3">
      <c r="A484" s="75">
        <v>41570</v>
      </c>
      <c r="B484" s="78" t="s">
        <v>67</v>
      </c>
      <c r="C484" s="78" t="s">
        <v>90</v>
      </c>
      <c r="D484" s="85">
        <v>209</v>
      </c>
    </row>
    <row r="485" spans="1:4" x14ac:dyDescent="0.3">
      <c r="A485" s="75">
        <v>41570</v>
      </c>
      <c r="B485" s="78" t="s">
        <v>67</v>
      </c>
      <c r="C485" s="78" t="s">
        <v>72</v>
      </c>
      <c r="D485" s="85">
        <v>261</v>
      </c>
    </row>
    <row r="486" spans="1:4" x14ac:dyDescent="0.3">
      <c r="A486" s="75">
        <v>41573</v>
      </c>
      <c r="B486" s="78" t="s">
        <v>69</v>
      </c>
      <c r="C486" s="78" t="s">
        <v>72</v>
      </c>
      <c r="D486" s="85">
        <v>633</v>
      </c>
    </row>
    <row r="487" spans="1:4" x14ac:dyDescent="0.3">
      <c r="A487" s="75">
        <v>41573</v>
      </c>
      <c r="B487" s="78" t="s">
        <v>63</v>
      </c>
      <c r="C487" s="78" t="s">
        <v>78</v>
      </c>
      <c r="D487" s="85">
        <v>308</v>
      </c>
    </row>
    <row r="488" spans="1:4" x14ac:dyDescent="0.3">
      <c r="A488" s="75">
        <v>41573</v>
      </c>
      <c r="B488" s="78" t="s">
        <v>63</v>
      </c>
      <c r="C488" s="78" t="s">
        <v>72</v>
      </c>
      <c r="D488" s="85">
        <v>319</v>
      </c>
    </row>
    <row r="489" spans="1:4" x14ac:dyDescent="0.3">
      <c r="A489" s="75">
        <v>41567</v>
      </c>
      <c r="B489" s="78" t="s">
        <v>63</v>
      </c>
      <c r="C489" s="78" t="s">
        <v>88</v>
      </c>
      <c r="D489" s="85">
        <v>400</v>
      </c>
    </row>
    <row r="490" spans="1:4" x14ac:dyDescent="0.3">
      <c r="A490" s="75">
        <v>41571</v>
      </c>
      <c r="B490" s="78" t="s">
        <v>63</v>
      </c>
      <c r="C490" s="78" t="s">
        <v>81</v>
      </c>
      <c r="D490" s="85">
        <v>20</v>
      </c>
    </row>
    <row r="491" spans="1:4" x14ac:dyDescent="0.3">
      <c r="A491" s="75">
        <v>41573</v>
      </c>
      <c r="B491" s="78" t="s">
        <v>67</v>
      </c>
      <c r="C491" s="78" t="s">
        <v>66</v>
      </c>
      <c r="D491" s="85">
        <v>151</v>
      </c>
    </row>
    <row r="492" spans="1:4" x14ac:dyDescent="0.3">
      <c r="A492" s="75">
        <v>41568</v>
      </c>
      <c r="B492" s="78" t="s">
        <v>69</v>
      </c>
      <c r="C492" s="78" t="s">
        <v>81</v>
      </c>
      <c r="D492" s="85">
        <v>345</v>
      </c>
    </row>
    <row r="493" spans="1:4" x14ac:dyDescent="0.3">
      <c r="A493" s="75">
        <v>41571</v>
      </c>
      <c r="B493" s="78" t="s">
        <v>69</v>
      </c>
      <c r="C493" s="78" t="s">
        <v>78</v>
      </c>
      <c r="D493" s="85">
        <v>78</v>
      </c>
    </row>
    <row r="494" spans="1:4" x14ac:dyDescent="0.3">
      <c r="A494" s="75">
        <v>41570</v>
      </c>
      <c r="B494" s="78" t="s">
        <v>63</v>
      </c>
      <c r="C494" s="78" t="s">
        <v>70</v>
      </c>
      <c r="D494" s="85">
        <v>81</v>
      </c>
    </row>
    <row r="495" spans="1:4" x14ac:dyDescent="0.3">
      <c r="A495" s="75">
        <v>41570</v>
      </c>
      <c r="B495" s="78" t="s">
        <v>63</v>
      </c>
      <c r="C495" s="78" t="s">
        <v>71</v>
      </c>
      <c r="D495" s="85">
        <v>563</v>
      </c>
    </row>
    <row r="496" spans="1:4" x14ac:dyDescent="0.3">
      <c r="A496" s="75">
        <v>41567</v>
      </c>
      <c r="B496" s="78" t="s">
        <v>69</v>
      </c>
      <c r="C496" s="78" t="s">
        <v>71</v>
      </c>
      <c r="D496" s="85">
        <v>344</v>
      </c>
    </row>
    <row r="497" spans="1:4" x14ac:dyDescent="0.3">
      <c r="A497" s="75">
        <v>41570</v>
      </c>
      <c r="B497" s="78" t="s">
        <v>63</v>
      </c>
      <c r="C497" s="78" t="s">
        <v>72</v>
      </c>
      <c r="D497" s="85">
        <v>103</v>
      </c>
    </row>
    <row r="498" spans="1:4" x14ac:dyDescent="0.3">
      <c r="A498" s="75">
        <v>41567</v>
      </c>
      <c r="B498" s="78" t="s">
        <v>69</v>
      </c>
      <c r="C498" s="78" t="s">
        <v>78</v>
      </c>
      <c r="D498" s="85">
        <v>378</v>
      </c>
    </row>
    <row r="499" spans="1:4" x14ac:dyDescent="0.3">
      <c r="A499" s="75">
        <v>41573</v>
      </c>
      <c r="B499" s="78" t="s">
        <v>63</v>
      </c>
      <c r="C499" s="78" t="s">
        <v>72</v>
      </c>
      <c r="D499" s="85">
        <v>546</v>
      </c>
    </row>
    <row r="500" spans="1:4" x14ac:dyDescent="0.3">
      <c r="A500" s="75">
        <v>41570</v>
      </c>
      <c r="B500" s="78" t="s">
        <v>63</v>
      </c>
      <c r="C500" s="78" t="s">
        <v>66</v>
      </c>
      <c r="D500" s="85">
        <v>649</v>
      </c>
    </row>
    <row r="501" spans="1:4" x14ac:dyDescent="0.3">
      <c r="A501" s="75">
        <v>41568</v>
      </c>
      <c r="B501" s="78" t="s">
        <v>67</v>
      </c>
      <c r="C501" s="78" t="s">
        <v>71</v>
      </c>
      <c r="D501" s="85">
        <v>387</v>
      </c>
    </row>
    <row r="502" spans="1:4" x14ac:dyDescent="0.3">
      <c r="A502" s="75">
        <v>41567</v>
      </c>
      <c r="B502" s="78" t="s">
        <v>63</v>
      </c>
      <c r="C502" s="78" t="s">
        <v>65</v>
      </c>
      <c r="D502" s="85">
        <v>468</v>
      </c>
    </row>
    <row r="503" spans="1:4" x14ac:dyDescent="0.3">
      <c r="A503" s="75">
        <v>41569</v>
      </c>
      <c r="B503" s="78" t="s">
        <v>69</v>
      </c>
      <c r="C503" s="78" t="s">
        <v>78</v>
      </c>
      <c r="D503" s="85">
        <v>36</v>
      </c>
    </row>
    <row r="504" spans="1:4" x14ac:dyDescent="0.3">
      <c r="A504" s="75">
        <v>41570</v>
      </c>
      <c r="B504" s="78" t="s">
        <v>69</v>
      </c>
      <c r="C504" s="78" t="s">
        <v>83</v>
      </c>
      <c r="D504" s="85">
        <v>576</v>
      </c>
    </row>
    <row r="505" spans="1:4" x14ac:dyDescent="0.3">
      <c r="A505" s="75">
        <v>41571</v>
      </c>
      <c r="B505" s="78" t="s">
        <v>67</v>
      </c>
      <c r="C505" s="78" t="s">
        <v>66</v>
      </c>
      <c r="D505" s="85">
        <v>304</v>
      </c>
    </row>
    <row r="506" spans="1:4" x14ac:dyDescent="0.3">
      <c r="A506" s="75">
        <v>41570</v>
      </c>
      <c r="B506" s="78" t="s">
        <v>67</v>
      </c>
      <c r="C506" s="78" t="s">
        <v>81</v>
      </c>
      <c r="D506" s="85">
        <v>648</v>
      </c>
    </row>
    <row r="507" spans="1:4" x14ac:dyDescent="0.3">
      <c r="A507" s="75">
        <v>41568</v>
      </c>
      <c r="B507" s="78" t="s">
        <v>69</v>
      </c>
      <c r="C507" s="78" t="s">
        <v>83</v>
      </c>
      <c r="D507" s="85">
        <v>624</v>
      </c>
    </row>
    <row r="508" spans="1:4" x14ac:dyDescent="0.3">
      <c r="A508" s="75">
        <v>41570</v>
      </c>
      <c r="B508" s="78" t="s">
        <v>69</v>
      </c>
      <c r="C508" s="78" t="s">
        <v>71</v>
      </c>
      <c r="D508" s="85">
        <v>199</v>
      </c>
    </row>
    <row r="509" spans="1:4" x14ac:dyDescent="0.3">
      <c r="A509" s="75">
        <v>41569</v>
      </c>
      <c r="B509" s="78" t="s">
        <v>63</v>
      </c>
      <c r="C509" s="78" t="s">
        <v>79</v>
      </c>
      <c r="D509" s="85">
        <v>21</v>
      </c>
    </row>
    <row r="510" spans="1:4" x14ac:dyDescent="0.3">
      <c r="A510" s="75">
        <v>41570</v>
      </c>
      <c r="B510" s="78" t="s">
        <v>67</v>
      </c>
      <c r="C510" s="78" t="s">
        <v>85</v>
      </c>
      <c r="D510" s="85">
        <v>173</v>
      </c>
    </row>
    <row r="511" spans="1:4" x14ac:dyDescent="0.3">
      <c r="A511" s="75">
        <v>41570</v>
      </c>
      <c r="B511" s="78" t="s">
        <v>67</v>
      </c>
      <c r="C511" s="78" t="s">
        <v>70</v>
      </c>
      <c r="D511" s="85">
        <v>149</v>
      </c>
    </row>
    <row r="512" spans="1:4" x14ac:dyDescent="0.3">
      <c r="A512" s="75">
        <v>41571</v>
      </c>
      <c r="B512" s="78" t="s">
        <v>63</v>
      </c>
      <c r="C512" s="78" t="s">
        <v>66</v>
      </c>
      <c r="D512" s="85">
        <v>294</v>
      </c>
    </row>
    <row r="513" spans="1:4" x14ac:dyDescent="0.3">
      <c r="A513" s="75">
        <v>41567</v>
      </c>
      <c r="B513" s="78" t="s">
        <v>69</v>
      </c>
      <c r="C513" s="78" t="s">
        <v>68</v>
      </c>
      <c r="D513" s="85">
        <v>225</v>
      </c>
    </row>
    <row r="514" spans="1:4" x14ac:dyDescent="0.3">
      <c r="A514" s="75">
        <v>41569</v>
      </c>
      <c r="B514" s="78" t="s">
        <v>69</v>
      </c>
      <c r="C514" s="78" t="s">
        <v>87</v>
      </c>
      <c r="D514" s="85">
        <v>276</v>
      </c>
    </row>
    <row r="515" spans="1:4" x14ac:dyDescent="0.3">
      <c r="A515" s="75">
        <v>41569</v>
      </c>
      <c r="B515" s="78" t="s">
        <v>67</v>
      </c>
      <c r="C515" s="78" t="s">
        <v>74</v>
      </c>
      <c r="D515" s="85">
        <v>666</v>
      </c>
    </row>
    <row r="516" spans="1:4" x14ac:dyDescent="0.3">
      <c r="A516" s="75">
        <v>41570</v>
      </c>
      <c r="B516" s="78" t="s">
        <v>63</v>
      </c>
      <c r="C516" s="78" t="s">
        <v>64</v>
      </c>
      <c r="D516" s="85">
        <v>616</v>
      </c>
    </row>
    <row r="517" spans="1:4" x14ac:dyDescent="0.3">
      <c r="A517" s="75">
        <v>41568</v>
      </c>
      <c r="B517" s="78" t="s">
        <v>67</v>
      </c>
      <c r="C517" s="78" t="s">
        <v>66</v>
      </c>
      <c r="D517" s="85">
        <v>307</v>
      </c>
    </row>
    <row r="518" spans="1:4" x14ac:dyDescent="0.3">
      <c r="A518" s="75">
        <v>41570</v>
      </c>
      <c r="B518" s="78" t="s">
        <v>69</v>
      </c>
      <c r="C518" s="78" t="s">
        <v>70</v>
      </c>
      <c r="D518" s="85">
        <v>140</v>
      </c>
    </row>
    <row r="519" spans="1:4" x14ac:dyDescent="0.3">
      <c r="A519" s="75">
        <v>41571</v>
      </c>
      <c r="B519" s="78" t="s">
        <v>63</v>
      </c>
      <c r="C519" s="78" t="s">
        <v>66</v>
      </c>
      <c r="D519" s="85">
        <v>632</v>
      </c>
    </row>
    <row r="520" spans="1:4" x14ac:dyDescent="0.3">
      <c r="A520" s="75">
        <v>41572</v>
      </c>
      <c r="B520" s="78" t="s">
        <v>63</v>
      </c>
      <c r="C520" s="78" t="s">
        <v>72</v>
      </c>
      <c r="D520" s="85">
        <v>461</v>
      </c>
    </row>
    <row r="521" spans="1:4" x14ac:dyDescent="0.3">
      <c r="A521" s="75">
        <v>41568</v>
      </c>
      <c r="B521" s="78" t="s">
        <v>63</v>
      </c>
      <c r="C521" s="78" t="s">
        <v>78</v>
      </c>
      <c r="D521" s="85">
        <v>656</v>
      </c>
    </row>
    <row r="522" spans="1:4" x14ac:dyDescent="0.3">
      <c r="A522" s="75">
        <v>41569</v>
      </c>
      <c r="B522" s="78" t="s">
        <v>63</v>
      </c>
      <c r="C522" s="78" t="s">
        <v>81</v>
      </c>
      <c r="D522" s="85">
        <v>158</v>
      </c>
    </row>
    <row r="523" spans="1:4" x14ac:dyDescent="0.3">
      <c r="A523" s="75">
        <v>41570</v>
      </c>
      <c r="B523" s="78" t="s">
        <v>67</v>
      </c>
      <c r="C523" s="78" t="s">
        <v>79</v>
      </c>
      <c r="D523" s="85">
        <v>663</v>
      </c>
    </row>
    <row r="524" spans="1:4" x14ac:dyDescent="0.3">
      <c r="A524" s="75">
        <v>41571</v>
      </c>
      <c r="B524" s="78" t="s">
        <v>69</v>
      </c>
      <c r="C524" s="78" t="s">
        <v>65</v>
      </c>
      <c r="D524" s="85">
        <v>555</v>
      </c>
    </row>
    <row r="525" spans="1:4" x14ac:dyDescent="0.3">
      <c r="A525" s="75">
        <v>41570</v>
      </c>
      <c r="B525" s="78" t="s">
        <v>63</v>
      </c>
      <c r="C525" s="78" t="s">
        <v>76</v>
      </c>
      <c r="D525" s="85">
        <v>489</v>
      </c>
    </row>
    <row r="526" spans="1:4" x14ac:dyDescent="0.3">
      <c r="A526" s="75">
        <v>41569</v>
      </c>
      <c r="B526" s="78" t="s">
        <v>63</v>
      </c>
      <c r="C526" s="78" t="s">
        <v>65</v>
      </c>
      <c r="D526" s="85">
        <v>212</v>
      </c>
    </row>
    <row r="527" spans="1:4" x14ac:dyDescent="0.3">
      <c r="A527" s="75">
        <v>41567</v>
      </c>
      <c r="B527" s="78" t="s">
        <v>69</v>
      </c>
      <c r="C527" s="78" t="s">
        <v>64</v>
      </c>
      <c r="D527" s="85">
        <v>411</v>
      </c>
    </row>
    <row r="528" spans="1:4" x14ac:dyDescent="0.3">
      <c r="A528" s="75">
        <v>41570</v>
      </c>
      <c r="B528" s="78" t="s">
        <v>67</v>
      </c>
      <c r="C528" s="78" t="s">
        <v>66</v>
      </c>
      <c r="D528" s="85">
        <v>343</v>
      </c>
    </row>
    <row r="529" spans="1:4" x14ac:dyDescent="0.3">
      <c r="A529" s="75">
        <v>41569</v>
      </c>
      <c r="B529" s="78" t="s">
        <v>63</v>
      </c>
      <c r="C529" s="78" t="s">
        <v>79</v>
      </c>
      <c r="D529" s="85">
        <v>629</v>
      </c>
    </row>
    <row r="530" spans="1:4" x14ac:dyDescent="0.3">
      <c r="A530" s="75">
        <v>41568</v>
      </c>
      <c r="B530" s="78" t="s">
        <v>67</v>
      </c>
      <c r="C530" s="78" t="s">
        <v>80</v>
      </c>
      <c r="D530" s="85">
        <v>247</v>
      </c>
    </row>
    <row r="531" spans="1:4" x14ac:dyDescent="0.3">
      <c r="A531" s="75">
        <v>41572</v>
      </c>
      <c r="B531" s="78" t="s">
        <v>69</v>
      </c>
      <c r="C531" s="78" t="s">
        <v>74</v>
      </c>
      <c r="D531" s="85">
        <v>180</v>
      </c>
    </row>
    <row r="532" spans="1:4" x14ac:dyDescent="0.3">
      <c r="A532" s="75">
        <v>41572</v>
      </c>
      <c r="B532" s="78" t="s">
        <v>69</v>
      </c>
      <c r="C532" s="78" t="s">
        <v>82</v>
      </c>
      <c r="D532" s="85">
        <v>374</v>
      </c>
    </row>
    <row r="533" spans="1:4" x14ac:dyDescent="0.3">
      <c r="A533" s="75">
        <v>41569</v>
      </c>
      <c r="B533" s="78" t="s">
        <v>63</v>
      </c>
      <c r="C533" s="78" t="s">
        <v>80</v>
      </c>
      <c r="D533" s="85">
        <v>672</v>
      </c>
    </row>
    <row r="534" spans="1:4" x14ac:dyDescent="0.3">
      <c r="A534" s="75">
        <v>41572</v>
      </c>
      <c r="B534" s="78" t="s">
        <v>69</v>
      </c>
      <c r="C534" s="78" t="s">
        <v>71</v>
      </c>
      <c r="D534" s="85">
        <v>484</v>
      </c>
    </row>
    <row r="535" spans="1:4" x14ac:dyDescent="0.3">
      <c r="A535" s="75">
        <v>41573</v>
      </c>
      <c r="B535" s="78" t="s">
        <v>69</v>
      </c>
      <c r="C535" s="78" t="s">
        <v>65</v>
      </c>
      <c r="D535" s="85">
        <v>77</v>
      </c>
    </row>
    <row r="536" spans="1:4" x14ac:dyDescent="0.3">
      <c r="A536" s="75">
        <v>41573</v>
      </c>
      <c r="B536" s="78" t="s">
        <v>63</v>
      </c>
      <c r="C536" s="78" t="s">
        <v>75</v>
      </c>
      <c r="D536" s="85">
        <v>315</v>
      </c>
    </row>
    <row r="537" spans="1:4" x14ac:dyDescent="0.3">
      <c r="A537" s="75">
        <v>41570</v>
      </c>
      <c r="B537" s="78" t="s">
        <v>69</v>
      </c>
      <c r="C537" s="78" t="s">
        <v>68</v>
      </c>
      <c r="D537" s="85">
        <v>462</v>
      </c>
    </row>
    <row r="538" spans="1:4" x14ac:dyDescent="0.3">
      <c r="A538" s="75">
        <v>41569</v>
      </c>
      <c r="B538" s="78" t="s">
        <v>69</v>
      </c>
      <c r="C538" s="78" t="s">
        <v>74</v>
      </c>
      <c r="D538" s="85">
        <v>470</v>
      </c>
    </row>
    <row r="539" spans="1:4" x14ac:dyDescent="0.3">
      <c r="A539" s="75">
        <v>41567</v>
      </c>
      <c r="B539" s="78" t="s">
        <v>63</v>
      </c>
      <c r="C539" s="78" t="s">
        <v>71</v>
      </c>
      <c r="D539" s="85">
        <v>102</v>
      </c>
    </row>
    <row r="540" spans="1:4" x14ac:dyDescent="0.3">
      <c r="A540" s="75">
        <v>41567</v>
      </c>
      <c r="B540" s="78" t="s">
        <v>63</v>
      </c>
      <c r="C540" s="78" t="s">
        <v>83</v>
      </c>
      <c r="D540" s="85">
        <v>161</v>
      </c>
    </row>
    <row r="541" spans="1:4" x14ac:dyDescent="0.3">
      <c r="A541" s="75">
        <v>41568</v>
      </c>
      <c r="B541" s="78" t="s">
        <v>67</v>
      </c>
      <c r="C541" s="78" t="s">
        <v>82</v>
      </c>
      <c r="D541" s="85">
        <v>651</v>
      </c>
    </row>
    <row r="542" spans="1:4" x14ac:dyDescent="0.3">
      <c r="A542" s="75">
        <v>41568</v>
      </c>
      <c r="B542" s="78" t="s">
        <v>67</v>
      </c>
      <c r="C542" s="78" t="s">
        <v>78</v>
      </c>
      <c r="D542" s="85">
        <v>28</v>
      </c>
    </row>
    <row r="543" spans="1:4" x14ac:dyDescent="0.3">
      <c r="A543" s="75">
        <v>41573</v>
      </c>
      <c r="B543" s="78" t="s">
        <v>67</v>
      </c>
      <c r="C543" s="78" t="s">
        <v>68</v>
      </c>
      <c r="D543" s="85">
        <v>222</v>
      </c>
    </row>
    <row r="544" spans="1:4" x14ac:dyDescent="0.3">
      <c r="A544" s="75">
        <v>41572</v>
      </c>
      <c r="B544" s="78" t="s">
        <v>63</v>
      </c>
      <c r="C544" s="78" t="s">
        <v>74</v>
      </c>
      <c r="D544" s="85">
        <v>399</v>
      </c>
    </row>
    <row r="545" spans="1:4" x14ac:dyDescent="0.3">
      <c r="A545" s="75">
        <v>41569</v>
      </c>
      <c r="B545" s="78" t="s">
        <v>67</v>
      </c>
      <c r="C545" s="78" t="s">
        <v>89</v>
      </c>
      <c r="D545" s="85">
        <v>570</v>
      </c>
    </row>
    <row r="546" spans="1:4" x14ac:dyDescent="0.3">
      <c r="A546" s="75">
        <v>41572</v>
      </c>
      <c r="B546" s="78" t="s">
        <v>63</v>
      </c>
      <c r="C546" s="78" t="s">
        <v>75</v>
      </c>
      <c r="D546" s="85">
        <v>119</v>
      </c>
    </row>
    <row r="547" spans="1:4" x14ac:dyDescent="0.3">
      <c r="A547" s="75">
        <v>41571</v>
      </c>
      <c r="B547" s="78" t="s">
        <v>67</v>
      </c>
      <c r="C547" s="78" t="s">
        <v>78</v>
      </c>
      <c r="D547" s="85">
        <v>219</v>
      </c>
    </row>
    <row r="548" spans="1:4" x14ac:dyDescent="0.3">
      <c r="A548" s="75">
        <v>41571</v>
      </c>
      <c r="B548" s="78" t="s">
        <v>63</v>
      </c>
      <c r="C548" s="78" t="s">
        <v>66</v>
      </c>
      <c r="D548" s="85">
        <v>466</v>
      </c>
    </row>
    <row r="549" spans="1:4" x14ac:dyDescent="0.3">
      <c r="A549" s="75">
        <v>41569</v>
      </c>
      <c r="B549" s="78" t="s">
        <v>69</v>
      </c>
      <c r="C549" s="78" t="s">
        <v>65</v>
      </c>
      <c r="D549" s="85">
        <v>225</v>
      </c>
    </row>
    <row r="550" spans="1:4" x14ac:dyDescent="0.3">
      <c r="A550" s="75">
        <v>41568</v>
      </c>
      <c r="B550" s="78" t="s">
        <v>63</v>
      </c>
      <c r="C550" s="78" t="s">
        <v>80</v>
      </c>
      <c r="D550" s="85">
        <v>293</v>
      </c>
    </row>
    <row r="551" spans="1:4" x14ac:dyDescent="0.3">
      <c r="A551" s="75">
        <v>41570</v>
      </c>
      <c r="B551" s="78" t="s">
        <v>69</v>
      </c>
      <c r="C551" s="78" t="s">
        <v>79</v>
      </c>
      <c r="D551" s="85">
        <v>217</v>
      </c>
    </row>
    <row r="552" spans="1:4" x14ac:dyDescent="0.3">
      <c r="A552" s="75">
        <v>41572</v>
      </c>
      <c r="B552" s="78" t="s">
        <v>67</v>
      </c>
      <c r="C552" s="78" t="s">
        <v>66</v>
      </c>
      <c r="D552" s="85">
        <v>547</v>
      </c>
    </row>
    <row r="553" spans="1:4" x14ac:dyDescent="0.3">
      <c r="A553" s="75">
        <v>41572</v>
      </c>
      <c r="B553" s="78" t="s">
        <v>67</v>
      </c>
      <c r="C553" s="78" t="s">
        <v>72</v>
      </c>
      <c r="D553" s="85">
        <v>449</v>
      </c>
    </row>
    <row r="554" spans="1:4" x14ac:dyDescent="0.3">
      <c r="A554" s="75">
        <v>41573</v>
      </c>
      <c r="B554" s="78" t="s">
        <v>63</v>
      </c>
      <c r="C554" s="78" t="s">
        <v>70</v>
      </c>
      <c r="D554" s="85">
        <v>185</v>
      </c>
    </row>
    <row r="555" spans="1:4" x14ac:dyDescent="0.3">
      <c r="A555" s="75">
        <v>41573</v>
      </c>
      <c r="B555" s="78" t="s">
        <v>67</v>
      </c>
      <c r="C555" s="78" t="s">
        <v>72</v>
      </c>
      <c r="D555" s="85">
        <v>579</v>
      </c>
    </row>
    <row r="556" spans="1:4" x14ac:dyDescent="0.3">
      <c r="A556" s="75">
        <v>41568</v>
      </c>
      <c r="B556" s="78" t="s">
        <v>67</v>
      </c>
      <c r="C556" s="78" t="s">
        <v>66</v>
      </c>
      <c r="D556" s="85">
        <v>675</v>
      </c>
    </row>
    <row r="557" spans="1:4" x14ac:dyDescent="0.3">
      <c r="A557" s="75">
        <v>41570</v>
      </c>
      <c r="B557" s="78" t="s">
        <v>69</v>
      </c>
      <c r="C557" s="78" t="s">
        <v>66</v>
      </c>
      <c r="D557" s="85">
        <v>239</v>
      </c>
    </row>
    <row r="558" spans="1:4" x14ac:dyDescent="0.3">
      <c r="A558" s="75">
        <v>41569</v>
      </c>
      <c r="B558" s="78" t="s">
        <v>67</v>
      </c>
      <c r="C558" s="78" t="s">
        <v>71</v>
      </c>
      <c r="D558" s="85">
        <v>152</v>
      </c>
    </row>
    <row r="559" spans="1:4" x14ac:dyDescent="0.3">
      <c r="A559" s="75">
        <v>41571</v>
      </c>
      <c r="B559" s="78" t="s">
        <v>67</v>
      </c>
      <c r="C559" s="78" t="s">
        <v>66</v>
      </c>
      <c r="D559" s="85">
        <v>210</v>
      </c>
    </row>
    <row r="560" spans="1:4" x14ac:dyDescent="0.3">
      <c r="A560" s="75">
        <v>41572</v>
      </c>
      <c r="B560" s="78" t="s">
        <v>69</v>
      </c>
      <c r="C560" s="78" t="s">
        <v>89</v>
      </c>
      <c r="D560" s="85">
        <v>573</v>
      </c>
    </row>
    <row r="561" spans="1:4" x14ac:dyDescent="0.3">
      <c r="A561" s="75">
        <v>41573</v>
      </c>
      <c r="B561" s="78" t="s">
        <v>63</v>
      </c>
      <c r="C561" s="78" t="s">
        <v>66</v>
      </c>
      <c r="D561" s="85">
        <v>19</v>
      </c>
    </row>
    <row r="562" spans="1:4" x14ac:dyDescent="0.3">
      <c r="A562" s="75">
        <v>41568</v>
      </c>
      <c r="B562" s="78" t="s">
        <v>69</v>
      </c>
      <c r="C562" s="78" t="s">
        <v>73</v>
      </c>
      <c r="D562" s="85">
        <v>478</v>
      </c>
    </row>
    <row r="563" spans="1:4" x14ac:dyDescent="0.3">
      <c r="A563" s="75">
        <v>41568</v>
      </c>
      <c r="B563" s="78" t="s">
        <v>67</v>
      </c>
      <c r="C563" s="78" t="s">
        <v>68</v>
      </c>
      <c r="D563" s="85">
        <v>565</v>
      </c>
    </row>
    <row r="564" spans="1:4" x14ac:dyDescent="0.3">
      <c r="A564" s="75">
        <v>41571</v>
      </c>
      <c r="B564" s="78" t="s">
        <v>69</v>
      </c>
      <c r="C564" s="78" t="s">
        <v>79</v>
      </c>
      <c r="D564" s="85">
        <v>169</v>
      </c>
    </row>
    <row r="565" spans="1:4" x14ac:dyDescent="0.3">
      <c r="A565" s="75">
        <v>41571</v>
      </c>
      <c r="B565" s="78" t="s">
        <v>67</v>
      </c>
      <c r="C565" s="78" t="s">
        <v>65</v>
      </c>
      <c r="D565" s="85">
        <v>329</v>
      </c>
    </row>
    <row r="566" spans="1:4" x14ac:dyDescent="0.3">
      <c r="A566" s="75">
        <v>41571</v>
      </c>
      <c r="B566" s="78" t="s">
        <v>69</v>
      </c>
      <c r="C566" s="78" t="s">
        <v>72</v>
      </c>
      <c r="D566" s="85">
        <v>115</v>
      </c>
    </row>
    <row r="567" spans="1:4" x14ac:dyDescent="0.3">
      <c r="A567" s="75">
        <v>41567</v>
      </c>
      <c r="B567" s="78" t="s">
        <v>67</v>
      </c>
      <c r="C567" s="78" t="s">
        <v>78</v>
      </c>
      <c r="D567" s="85">
        <v>524</v>
      </c>
    </row>
    <row r="568" spans="1:4" x14ac:dyDescent="0.3">
      <c r="A568" s="75">
        <v>41573</v>
      </c>
      <c r="B568" s="78" t="s">
        <v>69</v>
      </c>
      <c r="C568" s="78" t="s">
        <v>78</v>
      </c>
      <c r="D568" s="85">
        <v>550</v>
      </c>
    </row>
    <row r="569" spans="1:4" x14ac:dyDescent="0.3">
      <c r="A569" s="75">
        <v>41569</v>
      </c>
      <c r="B569" s="78" t="s">
        <v>69</v>
      </c>
      <c r="C569" s="78" t="s">
        <v>74</v>
      </c>
      <c r="D569" s="85">
        <v>514</v>
      </c>
    </row>
    <row r="570" spans="1:4" x14ac:dyDescent="0.3">
      <c r="A570" s="75">
        <v>41567</v>
      </c>
      <c r="B570" s="78" t="s">
        <v>69</v>
      </c>
      <c r="C570" s="78" t="s">
        <v>66</v>
      </c>
      <c r="D570" s="85">
        <v>223</v>
      </c>
    </row>
    <row r="571" spans="1:4" x14ac:dyDescent="0.3">
      <c r="A571" s="75">
        <v>41572</v>
      </c>
      <c r="B571" s="78" t="s">
        <v>69</v>
      </c>
      <c r="C571" s="78" t="s">
        <v>71</v>
      </c>
      <c r="D571" s="85">
        <v>667</v>
      </c>
    </row>
    <row r="572" spans="1:4" x14ac:dyDescent="0.3">
      <c r="A572" s="75">
        <v>41567</v>
      </c>
      <c r="B572" s="78" t="s">
        <v>69</v>
      </c>
      <c r="C572" s="78" t="s">
        <v>68</v>
      </c>
      <c r="D572" s="85">
        <v>314</v>
      </c>
    </row>
    <row r="573" spans="1:4" x14ac:dyDescent="0.3">
      <c r="A573" s="75">
        <v>41573</v>
      </c>
      <c r="B573" s="78" t="s">
        <v>67</v>
      </c>
      <c r="C573" s="78" t="s">
        <v>73</v>
      </c>
      <c r="D573" s="85">
        <v>228</v>
      </c>
    </row>
    <row r="574" spans="1:4" x14ac:dyDescent="0.3">
      <c r="A574" s="75">
        <v>41569</v>
      </c>
      <c r="B574" s="78" t="s">
        <v>67</v>
      </c>
      <c r="C574" s="78" t="s">
        <v>64</v>
      </c>
      <c r="D574" s="85">
        <v>193</v>
      </c>
    </row>
    <row r="575" spans="1:4" x14ac:dyDescent="0.3">
      <c r="A575" s="75">
        <v>41573</v>
      </c>
      <c r="B575" s="78" t="s">
        <v>63</v>
      </c>
      <c r="C575" s="78" t="s">
        <v>72</v>
      </c>
      <c r="D575" s="85">
        <v>509</v>
      </c>
    </row>
    <row r="576" spans="1:4" x14ac:dyDescent="0.3">
      <c r="A576" s="75">
        <v>41568</v>
      </c>
      <c r="B576" s="78" t="s">
        <v>67</v>
      </c>
      <c r="C576" s="78" t="s">
        <v>77</v>
      </c>
      <c r="D576" s="85">
        <v>529</v>
      </c>
    </row>
    <row r="577" spans="1:4" x14ac:dyDescent="0.3">
      <c r="A577" s="75">
        <v>41573</v>
      </c>
      <c r="B577" s="78" t="s">
        <v>67</v>
      </c>
      <c r="C577" s="78" t="s">
        <v>73</v>
      </c>
      <c r="D577" s="85">
        <v>416</v>
      </c>
    </row>
    <row r="578" spans="1:4" x14ac:dyDescent="0.3">
      <c r="A578" s="75">
        <v>41569</v>
      </c>
      <c r="B578" s="78" t="s">
        <v>63</v>
      </c>
      <c r="C578" s="78" t="s">
        <v>75</v>
      </c>
      <c r="D578" s="85">
        <v>532</v>
      </c>
    </row>
    <row r="579" spans="1:4" x14ac:dyDescent="0.3">
      <c r="A579" s="75">
        <v>41569</v>
      </c>
      <c r="B579" s="78" t="s">
        <v>63</v>
      </c>
      <c r="C579" s="78" t="s">
        <v>68</v>
      </c>
      <c r="D579" s="85">
        <v>639</v>
      </c>
    </row>
    <row r="580" spans="1:4" x14ac:dyDescent="0.3">
      <c r="A580" s="75">
        <v>41569</v>
      </c>
      <c r="B580" s="78" t="s">
        <v>69</v>
      </c>
      <c r="C580" s="78" t="s">
        <v>88</v>
      </c>
      <c r="D580" s="85">
        <v>115</v>
      </c>
    </row>
    <row r="581" spans="1:4" x14ac:dyDescent="0.3">
      <c r="A581" s="75">
        <v>41567</v>
      </c>
      <c r="B581" s="78" t="s">
        <v>63</v>
      </c>
      <c r="C581" s="78" t="s">
        <v>66</v>
      </c>
      <c r="D581" s="85">
        <v>145</v>
      </c>
    </row>
    <row r="582" spans="1:4" x14ac:dyDescent="0.3">
      <c r="A582" s="75">
        <v>41573</v>
      </c>
      <c r="B582" s="78" t="s">
        <v>67</v>
      </c>
      <c r="C582" s="78" t="s">
        <v>88</v>
      </c>
      <c r="D582" s="85">
        <v>349</v>
      </c>
    </row>
    <row r="583" spans="1:4" x14ac:dyDescent="0.3">
      <c r="A583" s="75">
        <v>41571</v>
      </c>
      <c r="B583" s="78" t="s">
        <v>67</v>
      </c>
      <c r="C583" s="78" t="s">
        <v>79</v>
      </c>
      <c r="D583" s="85">
        <v>98</v>
      </c>
    </row>
    <row r="584" spans="1:4" x14ac:dyDescent="0.3">
      <c r="A584" s="75">
        <v>41571</v>
      </c>
      <c r="B584" s="78" t="s">
        <v>69</v>
      </c>
      <c r="C584" s="78" t="s">
        <v>64</v>
      </c>
      <c r="D584" s="85">
        <v>342</v>
      </c>
    </row>
    <row r="585" spans="1:4" x14ac:dyDescent="0.3">
      <c r="A585" s="89">
        <v>41567</v>
      </c>
      <c r="B585" s="90" t="s">
        <v>69</v>
      </c>
      <c r="C585" s="90" t="s">
        <v>66</v>
      </c>
      <c r="D585" s="91">
        <v>234</v>
      </c>
    </row>
  </sheetData>
  <pageMargins left="0.7" right="0.7" top="0.75" bottom="0.75" header="0.3" footer="0.3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4886-B23A-4BBC-BD7B-97520AA7D44C}">
  <sheetPr>
    <tabColor rgb="FF0000FF"/>
  </sheetPr>
  <dimension ref="A1:E15"/>
  <sheetViews>
    <sheetView tabSelected="1" zoomScaleNormal="100" workbookViewId="0">
      <selection activeCell="F18" sqref="F18"/>
    </sheetView>
  </sheetViews>
  <sheetFormatPr defaultRowHeight="14.4" x14ac:dyDescent="0.3"/>
  <cols>
    <col min="1" max="4" width="15.6640625" customWidth="1"/>
  </cols>
  <sheetData>
    <row r="1" spans="1:5" x14ac:dyDescent="0.3">
      <c r="A1" s="92" t="s">
        <v>93</v>
      </c>
      <c r="B1" s="92"/>
      <c r="C1" s="92"/>
      <c r="D1" s="92"/>
      <c r="E1" s="92"/>
    </row>
    <row r="2" spans="1:5" x14ac:dyDescent="0.3">
      <c r="A2" s="92" t="s">
        <v>94</v>
      </c>
      <c r="B2" s="92"/>
      <c r="C2" s="92"/>
      <c r="D2" s="92"/>
      <c r="E2" s="92"/>
    </row>
    <row r="3" spans="1:5" x14ac:dyDescent="0.3">
      <c r="A3" s="92" t="s">
        <v>95</v>
      </c>
      <c r="B3" s="92"/>
      <c r="C3" s="92"/>
      <c r="D3" s="92"/>
      <c r="E3" s="92"/>
    </row>
    <row r="4" spans="1:5" x14ac:dyDescent="0.3">
      <c r="A4" s="92" t="s">
        <v>96</v>
      </c>
      <c r="B4" s="92"/>
      <c r="C4" s="92"/>
      <c r="D4" s="92"/>
      <c r="E4" s="92"/>
    </row>
    <row r="5" spans="1:5" x14ac:dyDescent="0.3">
      <c r="A5" s="92" t="s">
        <v>97</v>
      </c>
      <c r="B5" s="92"/>
      <c r="C5" s="92"/>
      <c r="D5" s="92"/>
      <c r="E5" s="92"/>
    </row>
    <row r="8" spans="1:5" x14ac:dyDescent="0.3">
      <c r="A8" s="95" t="s">
        <v>98</v>
      </c>
      <c r="B8" s="95" t="s">
        <v>99</v>
      </c>
      <c r="C8" s="92"/>
      <c r="D8" s="93" t="s">
        <v>100</v>
      </c>
      <c r="E8" s="92"/>
    </row>
    <row r="9" spans="1:5" x14ac:dyDescent="0.3">
      <c r="A9" s="96" t="s">
        <v>103</v>
      </c>
      <c r="B9" s="103">
        <v>2.7</v>
      </c>
      <c r="C9" s="92"/>
      <c r="D9" s="94">
        <f>AVERAGE(Geradetable[Grade])</f>
        <v>3.4428571428571431</v>
      </c>
      <c r="E9" s="92" t="s">
        <v>102</v>
      </c>
    </row>
    <row r="10" spans="1:5" x14ac:dyDescent="0.3">
      <c r="A10" s="96" t="s">
        <v>101</v>
      </c>
      <c r="B10" s="103">
        <v>2.8</v>
      </c>
      <c r="C10" s="92"/>
      <c r="D10" s="92"/>
      <c r="E10" s="92"/>
    </row>
    <row r="11" spans="1:5" x14ac:dyDescent="0.3">
      <c r="A11" s="96" t="s">
        <v>105</v>
      </c>
      <c r="B11" s="103">
        <v>3.1</v>
      </c>
      <c r="C11" s="92"/>
      <c r="D11" s="92"/>
      <c r="E11" s="92"/>
    </row>
    <row r="12" spans="1:5" x14ac:dyDescent="0.3">
      <c r="A12" s="96" t="s">
        <v>104</v>
      </c>
      <c r="B12" s="103">
        <v>3.7</v>
      </c>
      <c r="C12" s="92"/>
      <c r="D12" s="92"/>
      <c r="E12" s="92"/>
    </row>
    <row r="13" spans="1:5" x14ac:dyDescent="0.3">
      <c r="A13" s="96" t="s">
        <v>106</v>
      </c>
      <c r="B13" s="103">
        <v>3.8</v>
      </c>
      <c r="C13" s="92"/>
      <c r="D13" s="92"/>
      <c r="E13" s="92"/>
    </row>
    <row r="14" spans="1:5" x14ac:dyDescent="0.3">
      <c r="A14" s="96" t="s">
        <v>104</v>
      </c>
      <c r="B14" s="103">
        <v>4</v>
      </c>
    </row>
    <row r="15" spans="1:5" x14ac:dyDescent="0.3">
      <c r="A15" s="96" t="s">
        <v>107</v>
      </c>
      <c r="B15" s="103">
        <v>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C2B4A-D7DE-4CA2-A5DF-DDEB447D6425}">
  <sheetPr>
    <tabColor rgb="FFFF0000"/>
  </sheetPr>
  <dimension ref="A1:E15"/>
  <sheetViews>
    <sheetView topLeftCell="A5" workbookViewId="0">
      <selection activeCell="L14" sqref="L14"/>
    </sheetView>
  </sheetViews>
  <sheetFormatPr defaultColWidth="9.109375" defaultRowHeight="14.4" x14ac:dyDescent="0.3"/>
  <cols>
    <col min="1" max="4" width="15.6640625" style="96" customWidth="1"/>
    <col min="5" max="16384" width="9.109375" style="96"/>
  </cols>
  <sheetData>
    <row r="1" spans="1:5" x14ac:dyDescent="0.3">
      <c r="A1" s="96" t="s">
        <v>93</v>
      </c>
    </row>
    <row r="2" spans="1:5" x14ac:dyDescent="0.3">
      <c r="A2" s="96" t="s">
        <v>94</v>
      </c>
    </row>
    <row r="3" spans="1:5" x14ac:dyDescent="0.3">
      <c r="A3" s="96" t="s">
        <v>95</v>
      </c>
    </row>
    <row r="4" spans="1:5" x14ac:dyDescent="0.3">
      <c r="A4" s="96" t="s">
        <v>96</v>
      </c>
    </row>
    <row r="5" spans="1:5" x14ac:dyDescent="0.3">
      <c r="A5" s="96" t="s">
        <v>97</v>
      </c>
    </row>
    <row r="8" spans="1:5" x14ac:dyDescent="0.3">
      <c r="A8" s="102" t="s">
        <v>98</v>
      </c>
      <c r="B8" s="102" t="s">
        <v>99</v>
      </c>
      <c r="D8" s="97" t="s">
        <v>100</v>
      </c>
    </row>
    <row r="9" spans="1:5" x14ac:dyDescent="0.3">
      <c r="A9" s="96" t="s">
        <v>103</v>
      </c>
      <c r="B9" s="103">
        <v>2.7</v>
      </c>
      <c r="D9" s="99">
        <f>AVERAGE(GradeTableAnswer[Grade])</f>
        <v>3.4428571428571431</v>
      </c>
      <c r="E9" s="96" t="s">
        <v>102</v>
      </c>
    </row>
    <row r="10" spans="1:5" x14ac:dyDescent="0.3">
      <c r="A10" s="96" t="s">
        <v>101</v>
      </c>
      <c r="B10" s="103">
        <v>2.8</v>
      </c>
    </row>
    <row r="11" spans="1:5" x14ac:dyDescent="0.3">
      <c r="A11" s="96" t="s">
        <v>105</v>
      </c>
      <c r="B11" s="103">
        <v>3.1</v>
      </c>
    </row>
    <row r="12" spans="1:5" x14ac:dyDescent="0.3">
      <c r="A12" s="96" t="s">
        <v>104</v>
      </c>
      <c r="B12" s="103">
        <v>3.7</v>
      </c>
    </row>
    <row r="13" spans="1:5" x14ac:dyDescent="0.3">
      <c r="A13" s="96" t="s">
        <v>106</v>
      </c>
      <c r="B13" s="103">
        <v>3.8</v>
      </c>
    </row>
    <row r="14" spans="1:5" x14ac:dyDescent="0.3">
      <c r="A14" s="96" t="s">
        <v>104</v>
      </c>
      <c r="B14" s="103">
        <v>4</v>
      </c>
    </row>
    <row r="15" spans="1:5" x14ac:dyDescent="0.3">
      <c r="A15" s="96" t="s">
        <v>107</v>
      </c>
      <c r="B15" s="103">
        <v>4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Cover</vt:lpstr>
      <vt:lpstr>VLOOKUP DVL</vt:lpstr>
      <vt:lpstr>VLOOKUP DVL (an)</vt:lpstr>
      <vt:lpstr>Chart</vt:lpstr>
      <vt:lpstr>Chart (an)</vt:lpstr>
      <vt:lpstr>PivotTable</vt:lpstr>
      <vt:lpstr>PivotTable (an)</vt:lpstr>
      <vt:lpstr>SUM</vt:lpstr>
      <vt:lpstr>SUM (an)</vt:lpstr>
      <vt:lpstr>New Column &amp; VLOOKUP</vt:lpstr>
      <vt:lpstr>New Column &amp; VLOOKUP (an)</vt:lpstr>
      <vt:lpstr>HW==&gt;&gt;</vt:lpstr>
      <vt:lpstr>HW(1)</vt:lpstr>
      <vt:lpstr>HW(1an)</vt:lpstr>
      <vt:lpstr>HW(2)</vt:lpstr>
      <vt:lpstr>HW(2an)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User</cp:lastModifiedBy>
  <dcterms:created xsi:type="dcterms:W3CDTF">2017-11-06T17:31:13Z</dcterms:created>
  <dcterms:modified xsi:type="dcterms:W3CDTF">2024-08-03T15:08:44Z</dcterms:modified>
</cp:coreProperties>
</file>